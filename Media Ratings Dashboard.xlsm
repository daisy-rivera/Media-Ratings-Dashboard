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pivotCache/pivotCacheDefinition13.xml" ContentType="application/vnd.openxmlformats-officedocument.spreadsheetml.pivotCacheDefinition+xml"/>
  <Override PartName="/xl/pivotCache/pivotCacheRecords13.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14.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15.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16.xml" ContentType="application/vnd.openxmlformats-officedocument.spreadsheetml.pivotCacheRecords+xml"/>
  <Override PartName="/xl/pivotCache/pivotCacheDefinition17.xml" ContentType="application/vnd.openxmlformats-officedocument.spreadsheetml.pivotCacheDefinition+xml"/>
  <Override PartName="/xl/pivotCache/pivotCacheRecords17.xml" ContentType="application/vnd.openxmlformats-officedocument.spreadsheetml.pivotCacheRecords+xml"/>
  <Override PartName="/xl/pivotCache/pivotCacheDefinition18.xml" ContentType="application/vnd.openxmlformats-officedocument.spreadsheetml.pivotCacheDefinition+xml"/>
  <Override PartName="/xl/pivotCache/pivotCacheRecords18.xml" ContentType="application/vnd.openxmlformats-officedocument.spreadsheetml.pivotCacheRecords+xml"/>
  <Override PartName="/xl/pivotCache/pivotCacheDefinition19.xml" ContentType="application/vnd.openxmlformats-officedocument.spreadsheetml.pivotCacheDefinition+xml"/>
  <Override PartName="/xl/pivotCache/pivotCacheRecords19.xml" ContentType="application/vnd.openxmlformats-officedocument.spreadsheetml.pivotCacheRecords+xml"/>
  <Override PartName="/xl/pivotCache/pivotCacheDefinition20.xml" ContentType="application/vnd.openxmlformats-officedocument.spreadsheetml.pivotCacheDefinition+xml"/>
  <Override PartName="/xl/pivotCache/pivotCacheRecords2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5022B3EB-BCE5-7840-4BB8-8062D341818C}"/>
  <workbookPr codeName="ThisWorkbook" hidePivotFieldList="1" defaultThemeVersion="166925"/>
  <mc:AlternateContent xmlns:mc="http://schemas.openxmlformats.org/markup-compatibility/2006">
    <mc:Choice Requires="x15">
      <x15ac:absPath xmlns:x15ac="http://schemas.microsoft.com/office/spreadsheetml/2010/11/ac" url="C:\Users\Daisy\Desktop\"/>
    </mc:Choice>
  </mc:AlternateContent>
  <xr:revisionPtr revIDLastSave="0" documentId="8_{0B6B7CB7-1051-4D2D-81A9-70D292B28400}" xr6:coauthVersionLast="47" xr6:coauthVersionMax="47" xr10:uidLastSave="{00000000-0000-0000-0000-000000000000}"/>
  <bookViews>
    <workbookView xWindow="-108" yWindow="-108" windowWidth="23256" windowHeight="12456" xr2:uid="{543B924C-7A9A-48A1-A54D-51531B80020A}"/>
  </bookViews>
  <sheets>
    <sheet name="Ratings Dashboard" sheetId="1" r:id="rId1"/>
    <sheet name="Morning Programs" sheetId="2" r:id="rId2"/>
    <sheet name="Midday Programs" sheetId="3" r:id="rId3"/>
    <sheet name="Evening Programs" sheetId="4" r:id="rId4"/>
    <sheet name="Late Programs" sheetId="5" r:id="rId5"/>
  </sheets>
  <definedNames>
    <definedName name="_xlnm._FilterDatabase" localSheetId="3" hidden="1">'Evening Programs'!$A$18:$G$48</definedName>
    <definedName name="_xlnm._FilterDatabase" localSheetId="4" hidden="1">'Late Programs'!$Q$14:$W$32</definedName>
    <definedName name="_xlnm._FilterDatabase" localSheetId="2" hidden="1">'Midday Programs'!$A$13:$G$28</definedName>
    <definedName name="_xlnm._FilterDatabase" localSheetId="1" hidden="1">'Morning Programs'!$A$24:$G$72</definedName>
    <definedName name="_xlnm.Criteria" localSheetId="3">'Evening Programs'!$BG$11:$BG$12</definedName>
    <definedName name="_xlnm.Criteria" localSheetId="4">'Late Programs'!$BG$11:$BG$12</definedName>
    <definedName name="_xlnm.Criteria" localSheetId="2">'Midday Programs'!$BG$11:$BG$12</definedName>
    <definedName name="_xlnm.Criteria" localSheetId="1">'Morning Programs'!$BG$11:$BG$12</definedName>
    <definedName name="_xlnm.Criteria" localSheetId="0">'Ratings Dashboard'!$BG$11:$BG$12</definedName>
    <definedName name="DemoSlicerCache">#N/A</definedName>
    <definedName name="_xlnm.Extract" localSheetId="3">'Evening Programs'!$BP$2:$BQ$2</definedName>
    <definedName name="_xlnm.Extract" localSheetId="4">'Late Programs'!$BP$2:$BQ$2</definedName>
    <definedName name="_xlnm.Extract" localSheetId="2">'Midday Programs'!$BP$2:$BQ$2</definedName>
    <definedName name="_xlnm.Extract" localSheetId="1">'Morning Programs'!$BP$2:$BQ$2</definedName>
    <definedName name="StationSlicerCache">#N/A</definedName>
  </definedNames>
  <calcPr calcId="191029"/>
  <pivotCaches>
    <pivotCache cacheId="0" r:id="rId6"/>
    <pivotCache cacheId="1" r:id="rId7"/>
    <pivotCache cacheId="2" r:id="rId8"/>
    <pivotCache cacheId="3" r:id="rId9"/>
    <pivotCache cacheId="4" r:id="rId10"/>
    <pivotCache cacheId="5" r:id="rId11"/>
    <pivotCache cacheId="6" r:id="rId12"/>
    <pivotCache cacheId="7" r:id="rId13"/>
    <pivotCache cacheId="8" r:id="rId14"/>
    <pivotCache cacheId="9" r:id="rId15"/>
    <pivotCache cacheId="10" r:id="rId16"/>
    <pivotCache cacheId="11" r:id="rId17"/>
    <pivotCache cacheId="12" r:id="rId18"/>
    <pivotCache cacheId="13" r:id="rId19"/>
    <pivotCache cacheId="14" r:id="rId20"/>
    <pivotCache cacheId="15" r:id="rId21"/>
    <pivotCache cacheId="16" r:id="rId22"/>
    <pivotCache cacheId="17" r:id="rId23"/>
    <pivotCache cacheId="18" r:id="rId24"/>
    <pivotCache cacheId="19" r:id="rId25"/>
  </pivotCaches>
  <extLst>
    <ext xmlns:x14="http://schemas.microsoft.com/office/spreadsheetml/2009/9/main" uri="{BBE1A952-AA13-448e-AADC-164F8A28A991}">
      <x14:slicerCaches>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48" i="1" l="1" a="1"/>
  <c r="S48" i="1" s="1"/>
  <c r="S47" i="1" a="1"/>
  <c r="S47" i="1" s="1"/>
  <c r="S46" i="1" a="1"/>
  <c r="S46" i="1" s="1"/>
  <c r="S45" i="1" a="1"/>
  <c r="S45" i="1" s="1"/>
  <c r="S44" i="1" a="1"/>
  <c r="S44" i="1" s="1"/>
  <c r="S43" i="1" a="1"/>
  <c r="S43" i="1" s="1"/>
  <c r="S42" i="1" a="1"/>
  <c r="S42" i="1" s="1"/>
  <c r="S41" i="1" a="1"/>
  <c r="S41" i="1" s="1"/>
  <c r="S40" i="1" a="1"/>
  <c r="S40" i="1" s="1"/>
  <c r="S39" i="1" a="1"/>
  <c r="S39" i="1" s="1"/>
  <c r="S38" i="1" a="1"/>
  <c r="S38" i="1" s="1"/>
  <c r="S37" i="1" a="1"/>
  <c r="S37" i="1" s="1"/>
  <c r="S36" i="1" a="1"/>
  <c r="S36" i="1" s="1"/>
  <c r="S35" i="1" a="1"/>
  <c r="S35" i="1" s="1"/>
  <c r="S34" i="1" a="1"/>
  <c r="S34" i="1" s="1"/>
  <c r="O48" i="1" a="1"/>
  <c r="O48" i="1" s="1"/>
  <c r="O47" i="1" a="1"/>
  <c r="O47" i="1" s="1"/>
  <c r="O46" i="1" a="1"/>
  <c r="O46" i="1" s="1"/>
  <c r="O45" i="1" a="1"/>
  <c r="O45" i="1" s="1"/>
  <c r="O44" i="1" a="1"/>
  <c r="O44" i="1" s="1"/>
  <c r="O43" i="1" a="1"/>
  <c r="O43" i="1" s="1"/>
  <c r="O42" i="1" a="1"/>
  <c r="O42" i="1" s="1"/>
  <c r="O41" i="1" a="1"/>
  <c r="O41" i="1" s="1"/>
  <c r="O40" i="1" a="1"/>
  <c r="O40" i="1" s="1"/>
  <c r="O39" i="1" a="1"/>
  <c r="O39" i="1" s="1"/>
  <c r="O38" i="1" a="1"/>
  <c r="O38" i="1" s="1"/>
  <c r="O37" i="1" a="1"/>
  <c r="O37" i="1" s="1"/>
  <c r="O36" i="1" a="1"/>
  <c r="O36" i="1" s="1"/>
  <c r="O35" i="1" a="1"/>
  <c r="O35" i="1" s="1"/>
  <c r="O34" i="1" a="1"/>
  <c r="O34" i="1" s="1"/>
  <c r="R30" i="1"/>
  <c r="AL63" i="5"/>
  <c r="AK62" i="5"/>
  <c r="AK63" i="5" s="1"/>
  <c r="AD63" i="5"/>
  <c r="AC62" i="5"/>
  <c r="AC63" i="5" s="1"/>
  <c r="V63" i="5"/>
  <c r="U62" i="5"/>
  <c r="U63" i="5" s="1"/>
  <c r="N63" i="5"/>
  <c r="M62" i="5"/>
  <c r="M63" i="5" s="1"/>
  <c r="E62" i="5"/>
  <c r="E63" i="5" s="1"/>
  <c r="F63" i="5"/>
  <c r="AM32" i="5"/>
  <c r="AL32" i="5"/>
  <c r="AM31" i="5"/>
  <c r="AL31" i="5"/>
  <c r="AM30" i="5"/>
  <c r="AL30" i="5"/>
  <c r="AM29" i="5"/>
  <c r="AL29" i="5"/>
  <c r="AM28" i="5"/>
  <c r="AL28" i="5"/>
  <c r="AM27" i="5"/>
  <c r="AL27" i="5"/>
  <c r="AM26" i="5"/>
  <c r="AL26" i="5"/>
  <c r="AM25" i="5"/>
  <c r="AL25" i="5"/>
  <c r="AM24" i="5"/>
  <c r="AL24" i="5"/>
  <c r="AM23" i="5"/>
  <c r="AL23" i="5"/>
  <c r="AM22" i="5"/>
  <c r="AL22" i="5"/>
  <c r="AM21" i="5"/>
  <c r="AL21" i="5"/>
  <c r="AM20" i="5"/>
  <c r="AL20" i="5"/>
  <c r="AM19" i="5"/>
  <c r="AL19" i="5"/>
  <c r="AM18" i="5"/>
  <c r="AL18" i="5"/>
  <c r="AM17" i="5"/>
  <c r="AL17" i="5"/>
  <c r="AM16" i="5"/>
  <c r="AL16" i="5"/>
  <c r="AM15" i="5"/>
  <c r="AL15" i="5"/>
  <c r="AE32" i="5"/>
  <c r="AD32" i="5"/>
  <c r="AE31" i="5"/>
  <c r="AD31" i="5"/>
  <c r="AE30" i="5"/>
  <c r="AD30" i="5"/>
  <c r="AE29" i="5"/>
  <c r="AD29" i="5"/>
  <c r="AE28" i="5"/>
  <c r="AD28" i="5"/>
  <c r="AE27" i="5"/>
  <c r="AD27" i="5"/>
  <c r="AE26" i="5"/>
  <c r="AD26" i="5"/>
  <c r="AE25" i="5"/>
  <c r="AD25" i="5"/>
  <c r="AE24" i="5"/>
  <c r="AD24" i="5"/>
  <c r="AE23" i="5"/>
  <c r="AD23" i="5"/>
  <c r="AE22" i="5"/>
  <c r="AD22" i="5"/>
  <c r="AE21" i="5"/>
  <c r="AD21" i="5"/>
  <c r="AE20" i="5"/>
  <c r="AD20" i="5"/>
  <c r="AE19" i="5"/>
  <c r="AD19" i="5"/>
  <c r="AE18" i="5"/>
  <c r="AD18" i="5"/>
  <c r="AE17" i="5"/>
  <c r="AD17" i="5"/>
  <c r="AE16" i="5"/>
  <c r="AD16" i="5"/>
  <c r="AE15" i="5"/>
  <c r="AD15" i="5"/>
  <c r="W32" i="5"/>
  <c r="V32" i="5"/>
  <c r="W31" i="5"/>
  <c r="V31" i="5"/>
  <c r="W30" i="5"/>
  <c r="V30" i="5"/>
  <c r="W29" i="5"/>
  <c r="V29" i="5"/>
  <c r="W28" i="5"/>
  <c r="V28" i="5"/>
  <c r="W27" i="5"/>
  <c r="V27" i="5"/>
  <c r="W26" i="5"/>
  <c r="V26" i="5"/>
  <c r="W25" i="5"/>
  <c r="V25" i="5"/>
  <c r="W24" i="5"/>
  <c r="V24" i="5"/>
  <c r="W23" i="5"/>
  <c r="V23" i="5"/>
  <c r="W22" i="5"/>
  <c r="V22" i="5"/>
  <c r="W21" i="5"/>
  <c r="V21" i="5"/>
  <c r="W20" i="5"/>
  <c r="V20" i="5"/>
  <c r="W19" i="5"/>
  <c r="V19" i="5"/>
  <c r="W18" i="5"/>
  <c r="V18" i="5"/>
  <c r="W17" i="5"/>
  <c r="V17" i="5"/>
  <c r="W16" i="5"/>
  <c r="V16" i="5"/>
  <c r="W15" i="5"/>
  <c r="V15" i="5"/>
  <c r="O32" i="5"/>
  <c r="N32" i="5"/>
  <c r="O31" i="5"/>
  <c r="N31" i="5"/>
  <c r="O30" i="5"/>
  <c r="N30" i="5"/>
  <c r="O29" i="5"/>
  <c r="N29" i="5"/>
  <c r="O28" i="5"/>
  <c r="N28" i="5"/>
  <c r="O27" i="5"/>
  <c r="N27" i="5"/>
  <c r="O26" i="5"/>
  <c r="N26" i="5"/>
  <c r="O25" i="5"/>
  <c r="N25" i="5"/>
  <c r="O24" i="5"/>
  <c r="N24" i="5"/>
  <c r="O23" i="5"/>
  <c r="N23" i="5"/>
  <c r="O22" i="5"/>
  <c r="N22" i="5"/>
  <c r="O21" i="5"/>
  <c r="N21" i="5"/>
  <c r="O20" i="5"/>
  <c r="N20" i="5"/>
  <c r="O19" i="5"/>
  <c r="N19" i="5"/>
  <c r="O18" i="5"/>
  <c r="N18" i="5"/>
  <c r="O17" i="5"/>
  <c r="N17" i="5"/>
  <c r="O16" i="5"/>
  <c r="N16" i="5"/>
  <c r="O15" i="5"/>
  <c r="N15" i="5"/>
  <c r="G15" i="5"/>
  <c r="G16" i="5"/>
  <c r="G17" i="5"/>
  <c r="G18" i="5"/>
  <c r="G19" i="5"/>
  <c r="G20" i="5"/>
  <c r="G21" i="5"/>
  <c r="G22" i="5"/>
  <c r="G23" i="5"/>
  <c r="G24" i="5"/>
  <c r="G25" i="5"/>
  <c r="G26" i="5"/>
  <c r="G27" i="5"/>
  <c r="G28" i="5"/>
  <c r="G29" i="5"/>
  <c r="G30" i="5"/>
  <c r="G31" i="5"/>
  <c r="G32" i="5"/>
  <c r="F15" i="5"/>
  <c r="F16" i="5"/>
  <c r="F17" i="5"/>
  <c r="F18" i="5"/>
  <c r="F19" i="5"/>
  <c r="F20" i="5"/>
  <c r="F21" i="5"/>
  <c r="F22" i="5"/>
  <c r="F23" i="5"/>
  <c r="F24" i="5"/>
  <c r="F25" i="5"/>
  <c r="F26" i="5"/>
  <c r="F27" i="5"/>
  <c r="F28" i="5"/>
  <c r="F29" i="5"/>
  <c r="F30" i="5"/>
  <c r="F31" i="5"/>
  <c r="F32" i="5"/>
  <c r="AL91" i="4"/>
  <c r="AK90" i="4"/>
  <c r="AK91" i="4" s="1"/>
  <c r="AD91" i="4"/>
  <c r="AC90" i="4"/>
  <c r="AC91" i="4" s="1"/>
  <c r="V91" i="4"/>
  <c r="U90" i="4"/>
  <c r="U91" i="4" s="1"/>
  <c r="N91" i="4"/>
  <c r="M90" i="4"/>
  <c r="M91" i="4" s="1"/>
  <c r="E90" i="4"/>
  <c r="E91" i="4" s="1"/>
  <c r="F91" i="4"/>
  <c r="AM48" i="4"/>
  <c r="AL48" i="4"/>
  <c r="AM47" i="4"/>
  <c r="AL47" i="4"/>
  <c r="AM46" i="4"/>
  <c r="AL46" i="4"/>
  <c r="AM45" i="4"/>
  <c r="AL45" i="4"/>
  <c r="AM44" i="4"/>
  <c r="AL44" i="4"/>
  <c r="AM43" i="4"/>
  <c r="AL43" i="4"/>
  <c r="AM42" i="4"/>
  <c r="AL42" i="4"/>
  <c r="AM41" i="4"/>
  <c r="AL41" i="4"/>
  <c r="AM40" i="4"/>
  <c r="AL40" i="4"/>
  <c r="AM39" i="4"/>
  <c r="AL39" i="4"/>
  <c r="AM38" i="4"/>
  <c r="AL38" i="4"/>
  <c r="AM37" i="4"/>
  <c r="AL37" i="4"/>
  <c r="AM36" i="4"/>
  <c r="AL36" i="4"/>
  <c r="AM35" i="4"/>
  <c r="AL35" i="4"/>
  <c r="AM34" i="4"/>
  <c r="AL34" i="4"/>
  <c r="AM33" i="4"/>
  <c r="AL33" i="4"/>
  <c r="AM32" i="4"/>
  <c r="AL32" i="4"/>
  <c r="AM31" i="4"/>
  <c r="AL31" i="4"/>
  <c r="AM30" i="4"/>
  <c r="AL30" i="4"/>
  <c r="AM29" i="4"/>
  <c r="AL29" i="4"/>
  <c r="AM28" i="4"/>
  <c r="AL28" i="4"/>
  <c r="AM27" i="4"/>
  <c r="AL27" i="4"/>
  <c r="AM26" i="4"/>
  <c r="AL26" i="4"/>
  <c r="AM25" i="4"/>
  <c r="AL25" i="4"/>
  <c r="AM24" i="4"/>
  <c r="AL24" i="4"/>
  <c r="AM23" i="4"/>
  <c r="AL23" i="4"/>
  <c r="AM22" i="4"/>
  <c r="AL22" i="4"/>
  <c r="AM21" i="4"/>
  <c r="AL21" i="4"/>
  <c r="AM20" i="4"/>
  <c r="AL20" i="4"/>
  <c r="AM19" i="4"/>
  <c r="AL19" i="4"/>
  <c r="AE48" i="4"/>
  <c r="AD48" i="4"/>
  <c r="AE47" i="4"/>
  <c r="AD47" i="4"/>
  <c r="AE46" i="4"/>
  <c r="AD46" i="4"/>
  <c r="AE45" i="4"/>
  <c r="AD45" i="4"/>
  <c r="AE44" i="4"/>
  <c r="AD44" i="4"/>
  <c r="AE43" i="4"/>
  <c r="AD43" i="4"/>
  <c r="AE42" i="4"/>
  <c r="AD42" i="4"/>
  <c r="AE41" i="4"/>
  <c r="AD41" i="4"/>
  <c r="AE40" i="4"/>
  <c r="AD40" i="4"/>
  <c r="AE39" i="4"/>
  <c r="AD39" i="4"/>
  <c r="AE38" i="4"/>
  <c r="AD38" i="4"/>
  <c r="AE37" i="4"/>
  <c r="AD37" i="4"/>
  <c r="AE36" i="4"/>
  <c r="AD36" i="4"/>
  <c r="AE35" i="4"/>
  <c r="AD35" i="4"/>
  <c r="AE34" i="4"/>
  <c r="AD34" i="4"/>
  <c r="AE33" i="4"/>
  <c r="AD33" i="4"/>
  <c r="AE32" i="4"/>
  <c r="AD32" i="4"/>
  <c r="AE31" i="4"/>
  <c r="AD31" i="4"/>
  <c r="AE30" i="4"/>
  <c r="AD30" i="4"/>
  <c r="AE29" i="4"/>
  <c r="AD29" i="4"/>
  <c r="AE28" i="4"/>
  <c r="AD28" i="4"/>
  <c r="AE27" i="4"/>
  <c r="AD27" i="4"/>
  <c r="AE26" i="4"/>
  <c r="AD26" i="4"/>
  <c r="AE25" i="4"/>
  <c r="AD25" i="4"/>
  <c r="AE24" i="4"/>
  <c r="AD24" i="4"/>
  <c r="AE23" i="4"/>
  <c r="AD23" i="4"/>
  <c r="AE22" i="4"/>
  <c r="AD22" i="4"/>
  <c r="AE21" i="4"/>
  <c r="AD21" i="4"/>
  <c r="AE20" i="4"/>
  <c r="AD20" i="4"/>
  <c r="AE19" i="4"/>
  <c r="AD19" i="4"/>
  <c r="W48" i="4"/>
  <c r="V48" i="4"/>
  <c r="W47" i="4"/>
  <c r="V47" i="4"/>
  <c r="W46" i="4"/>
  <c r="V46" i="4"/>
  <c r="W45" i="4"/>
  <c r="V45" i="4"/>
  <c r="W44" i="4"/>
  <c r="V44" i="4"/>
  <c r="W43" i="4"/>
  <c r="V43" i="4"/>
  <c r="W42" i="4"/>
  <c r="V42" i="4"/>
  <c r="W41" i="4"/>
  <c r="V41" i="4"/>
  <c r="W40" i="4"/>
  <c r="V40" i="4"/>
  <c r="W39" i="4"/>
  <c r="V39" i="4"/>
  <c r="W38" i="4"/>
  <c r="V38" i="4"/>
  <c r="W37" i="4"/>
  <c r="V37" i="4"/>
  <c r="W36" i="4"/>
  <c r="V36" i="4"/>
  <c r="W35" i="4"/>
  <c r="V35" i="4"/>
  <c r="W34" i="4"/>
  <c r="V34" i="4"/>
  <c r="W33" i="4"/>
  <c r="V33" i="4"/>
  <c r="W32" i="4"/>
  <c r="V32" i="4"/>
  <c r="W31" i="4"/>
  <c r="V31" i="4"/>
  <c r="W30" i="4"/>
  <c r="V30" i="4"/>
  <c r="W29" i="4"/>
  <c r="V29" i="4"/>
  <c r="W28" i="4"/>
  <c r="V28" i="4"/>
  <c r="W27" i="4"/>
  <c r="V27" i="4"/>
  <c r="W26" i="4"/>
  <c r="V26" i="4"/>
  <c r="W25" i="4"/>
  <c r="V25" i="4"/>
  <c r="W24" i="4"/>
  <c r="V24" i="4"/>
  <c r="W23" i="4"/>
  <c r="V23" i="4"/>
  <c r="W22" i="4"/>
  <c r="V22" i="4"/>
  <c r="W21" i="4"/>
  <c r="V21" i="4"/>
  <c r="W20" i="4"/>
  <c r="V20" i="4"/>
  <c r="W19" i="4"/>
  <c r="V19" i="4"/>
  <c r="O48" i="4"/>
  <c r="N48" i="4"/>
  <c r="O47" i="4"/>
  <c r="N47" i="4"/>
  <c r="O46" i="4"/>
  <c r="N46" i="4"/>
  <c r="O45" i="4"/>
  <c r="N45" i="4"/>
  <c r="O44" i="4"/>
  <c r="N44" i="4"/>
  <c r="O43" i="4"/>
  <c r="N43" i="4"/>
  <c r="O42" i="4"/>
  <c r="N42" i="4"/>
  <c r="O41" i="4"/>
  <c r="N41" i="4"/>
  <c r="O40" i="4"/>
  <c r="N40" i="4"/>
  <c r="O39" i="4"/>
  <c r="N39" i="4"/>
  <c r="O38" i="4"/>
  <c r="N38" i="4"/>
  <c r="O37" i="4"/>
  <c r="N37" i="4"/>
  <c r="O36" i="4"/>
  <c r="N36" i="4"/>
  <c r="O35" i="4"/>
  <c r="N35" i="4"/>
  <c r="O34" i="4"/>
  <c r="N34" i="4"/>
  <c r="O33" i="4"/>
  <c r="N33" i="4"/>
  <c r="O32" i="4"/>
  <c r="N32" i="4"/>
  <c r="O31" i="4"/>
  <c r="N31" i="4"/>
  <c r="O30" i="4"/>
  <c r="N30" i="4"/>
  <c r="O29" i="4"/>
  <c r="N29" i="4"/>
  <c r="O28" i="4"/>
  <c r="N28" i="4"/>
  <c r="O27" i="4"/>
  <c r="N27" i="4"/>
  <c r="O26" i="4"/>
  <c r="N26" i="4"/>
  <c r="O25" i="4"/>
  <c r="N25" i="4"/>
  <c r="O24" i="4"/>
  <c r="N24" i="4"/>
  <c r="O23" i="4"/>
  <c r="N23" i="4"/>
  <c r="O22" i="4"/>
  <c r="N22" i="4"/>
  <c r="O21" i="4"/>
  <c r="N21" i="4"/>
  <c r="O20" i="4"/>
  <c r="N20" i="4"/>
  <c r="O19" i="4"/>
  <c r="N19"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AL56" i="3"/>
  <c r="AK55" i="3"/>
  <c r="AK56" i="3" s="1"/>
  <c r="AD56" i="3"/>
  <c r="AC55" i="3"/>
  <c r="AC56" i="3" s="1"/>
  <c r="V56" i="3"/>
  <c r="U55" i="3"/>
  <c r="U56" i="3" s="1"/>
  <c r="N56" i="3"/>
  <c r="M55" i="3"/>
  <c r="M56" i="3" s="1"/>
  <c r="E55" i="3"/>
  <c r="E56" i="3" s="1"/>
  <c r="F56" i="3"/>
  <c r="AM28" i="3"/>
  <c r="AL28" i="3"/>
  <c r="AM27" i="3"/>
  <c r="AL27" i="3"/>
  <c r="AM26" i="3"/>
  <c r="AL26" i="3"/>
  <c r="AM25" i="3"/>
  <c r="AL25" i="3"/>
  <c r="AM24" i="3"/>
  <c r="AL24" i="3"/>
  <c r="AM23" i="3"/>
  <c r="AL23" i="3"/>
  <c r="AM22" i="3"/>
  <c r="AL22" i="3"/>
  <c r="AM21" i="3"/>
  <c r="AL21" i="3"/>
  <c r="AM20" i="3"/>
  <c r="AL20" i="3"/>
  <c r="AM19" i="3"/>
  <c r="AL19" i="3"/>
  <c r="AM18" i="3"/>
  <c r="AL18" i="3"/>
  <c r="AM17" i="3"/>
  <c r="AL17" i="3"/>
  <c r="AM16" i="3"/>
  <c r="AL16" i="3"/>
  <c r="AM15" i="3"/>
  <c r="AL15" i="3"/>
  <c r="AM14" i="3"/>
  <c r="AL14" i="3"/>
  <c r="AE28" i="3"/>
  <c r="AD28" i="3"/>
  <c r="AE27" i="3"/>
  <c r="AD27" i="3"/>
  <c r="AE26" i="3"/>
  <c r="AD26" i="3"/>
  <c r="AE25" i="3"/>
  <c r="AD25" i="3"/>
  <c r="AE24" i="3"/>
  <c r="AD24" i="3"/>
  <c r="AE23" i="3"/>
  <c r="AD23" i="3"/>
  <c r="AE22" i="3"/>
  <c r="AD22" i="3"/>
  <c r="AE21" i="3"/>
  <c r="AD21" i="3"/>
  <c r="AE20" i="3"/>
  <c r="AD20" i="3"/>
  <c r="AE19" i="3"/>
  <c r="AD19" i="3"/>
  <c r="AE18" i="3"/>
  <c r="AD18" i="3"/>
  <c r="AE17" i="3"/>
  <c r="AD17" i="3"/>
  <c r="AE16" i="3"/>
  <c r="AD16" i="3"/>
  <c r="AE15" i="3"/>
  <c r="AD15" i="3"/>
  <c r="AE14" i="3"/>
  <c r="AD14" i="3"/>
  <c r="W28" i="3"/>
  <c r="V28" i="3"/>
  <c r="W27" i="3"/>
  <c r="V27" i="3"/>
  <c r="W26" i="3"/>
  <c r="V26" i="3"/>
  <c r="W25" i="3"/>
  <c r="V25" i="3"/>
  <c r="W24" i="3"/>
  <c r="V24" i="3"/>
  <c r="W23" i="3"/>
  <c r="V23" i="3"/>
  <c r="W22" i="3"/>
  <c r="V22" i="3"/>
  <c r="W21" i="3"/>
  <c r="V21" i="3"/>
  <c r="W20" i="3"/>
  <c r="V20" i="3"/>
  <c r="W19" i="3"/>
  <c r="V19" i="3"/>
  <c r="W18" i="3"/>
  <c r="V18" i="3"/>
  <c r="W17" i="3"/>
  <c r="V17" i="3"/>
  <c r="W16" i="3"/>
  <c r="V16" i="3"/>
  <c r="W15" i="3"/>
  <c r="V15" i="3"/>
  <c r="W14" i="3"/>
  <c r="V14" i="3"/>
  <c r="O28" i="3"/>
  <c r="N28" i="3"/>
  <c r="O27" i="3"/>
  <c r="N27" i="3"/>
  <c r="O26" i="3"/>
  <c r="N26" i="3"/>
  <c r="O25" i="3"/>
  <c r="N25" i="3"/>
  <c r="O24" i="3"/>
  <c r="N24" i="3"/>
  <c r="O23" i="3"/>
  <c r="N23" i="3"/>
  <c r="O22" i="3"/>
  <c r="N22" i="3"/>
  <c r="O21" i="3"/>
  <c r="N21" i="3"/>
  <c r="O20" i="3"/>
  <c r="N20" i="3"/>
  <c r="O19" i="3"/>
  <c r="N19" i="3"/>
  <c r="O18" i="3"/>
  <c r="N18" i="3"/>
  <c r="O17" i="3"/>
  <c r="N17" i="3"/>
  <c r="O16" i="3"/>
  <c r="N16" i="3"/>
  <c r="O15" i="3"/>
  <c r="N15" i="3"/>
  <c r="O14" i="3"/>
  <c r="N14" i="3"/>
  <c r="G14" i="3"/>
  <c r="G15" i="3"/>
  <c r="G16" i="3"/>
  <c r="G17" i="3"/>
  <c r="G18" i="3"/>
  <c r="G19" i="3"/>
  <c r="G20" i="3"/>
  <c r="G21" i="3"/>
  <c r="G22" i="3"/>
  <c r="G23" i="3"/>
  <c r="G24" i="3"/>
  <c r="G25" i="3"/>
  <c r="G26" i="3"/>
  <c r="G27" i="3"/>
  <c r="G28" i="3"/>
  <c r="F14" i="3"/>
  <c r="F15" i="3"/>
  <c r="F16" i="3"/>
  <c r="F17" i="3"/>
  <c r="F18" i="3"/>
  <c r="F19" i="3"/>
  <c r="F20" i="3"/>
  <c r="F21" i="3"/>
  <c r="F22" i="3"/>
  <c r="F23" i="3"/>
  <c r="F24" i="3"/>
  <c r="F25" i="3"/>
  <c r="F26" i="3"/>
  <c r="F27" i="3"/>
  <c r="F28" i="3"/>
  <c r="AL133" i="2"/>
  <c r="AK132" i="2"/>
  <c r="AK133" i="2" s="1"/>
  <c r="AD133" i="2"/>
  <c r="AC132" i="2"/>
  <c r="AC133" i="2" s="1"/>
  <c r="V133" i="2"/>
  <c r="U132" i="2"/>
  <c r="U133" i="2" s="1"/>
  <c r="N133" i="2"/>
  <c r="M132" i="2"/>
  <c r="M133" i="2" s="1"/>
  <c r="E132" i="2"/>
  <c r="E133" i="2" s="1"/>
  <c r="F133" i="2"/>
  <c r="AM72" i="2"/>
  <c r="AL72" i="2"/>
  <c r="AM71" i="2"/>
  <c r="AL71" i="2"/>
  <c r="AM70" i="2"/>
  <c r="AL70" i="2"/>
  <c r="AM69" i="2"/>
  <c r="AL69" i="2"/>
  <c r="AM68" i="2"/>
  <c r="AL68" i="2"/>
  <c r="AM67" i="2"/>
  <c r="AL67" i="2"/>
  <c r="AM66" i="2"/>
  <c r="AL66" i="2"/>
  <c r="AM65" i="2"/>
  <c r="AL65" i="2"/>
  <c r="AM64" i="2"/>
  <c r="AL64" i="2"/>
  <c r="AM63" i="2"/>
  <c r="AL63" i="2"/>
  <c r="AM62" i="2"/>
  <c r="AL62" i="2"/>
  <c r="AM61" i="2"/>
  <c r="AL61" i="2"/>
  <c r="AM60" i="2"/>
  <c r="AL60" i="2"/>
  <c r="AM59" i="2"/>
  <c r="AL59" i="2"/>
  <c r="AM58" i="2"/>
  <c r="AL58" i="2"/>
  <c r="AM57" i="2"/>
  <c r="AL57" i="2"/>
  <c r="AM56" i="2"/>
  <c r="AL56" i="2"/>
  <c r="AM55" i="2"/>
  <c r="AL55" i="2"/>
  <c r="AM54" i="2"/>
  <c r="AL54" i="2"/>
  <c r="AM53" i="2"/>
  <c r="AL53" i="2"/>
  <c r="AM52" i="2"/>
  <c r="AL52" i="2"/>
  <c r="AM51" i="2"/>
  <c r="AL51" i="2"/>
  <c r="AM50" i="2"/>
  <c r="AL50" i="2"/>
  <c r="AM49" i="2"/>
  <c r="AL49" i="2"/>
  <c r="AM48" i="2"/>
  <c r="AL48" i="2"/>
  <c r="AM47" i="2"/>
  <c r="AL47" i="2"/>
  <c r="AM46" i="2"/>
  <c r="AL46" i="2"/>
  <c r="AM45" i="2"/>
  <c r="AL45" i="2"/>
  <c r="AM44" i="2"/>
  <c r="AL44" i="2"/>
  <c r="AM43" i="2"/>
  <c r="AL43" i="2"/>
  <c r="AM42" i="2"/>
  <c r="AL42" i="2"/>
  <c r="AM41" i="2"/>
  <c r="AL41" i="2"/>
  <c r="AM40" i="2"/>
  <c r="AL40" i="2"/>
  <c r="AM39" i="2"/>
  <c r="AL39" i="2"/>
  <c r="AM38" i="2"/>
  <c r="AL38" i="2"/>
  <c r="AM37" i="2"/>
  <c r="AL37" i="2"/>
  <c r="AM36" i="2"/>
  <c r="AL36" i="2"/>
  <c r="AM35" i="2"/>
  <c r="AL35" i="2"/>
  <c r="AM34" i="2"/>
  <c r="AL34" i="2"/>
  <c r="AM33" i="2"/>
  <c r="AL33" i="2"/>
  <c r="AM32" i="2"/>
  <c r="AL32" i="2"/>
  <c r="AM31" i="2"/>
  <c r="AL31" i="2"/>
  <c r="AM30" i="2"/>
  <c r="AL30" i="2"/>
  <c r="AM29" i="2"/>
  <c r="AL29" i="2"/>
  <c r="AM28" i="2"/>
  <c r="AL28" i="2"/>
  <c r="AM27" i="2"/>
  <c r="AL27" i="2"/>
  <c r="AM26" i="2"/>
  <c r="AL26" i="2"/>
  <c r="AM25" i="2"/>
  <c r="AL25" i="2"/>
  <c r="AE72" i="2"/>
  <c r="AD72" i="2"/>
  <c r="AE71" i="2"/>
  <c r="AD71" i="2"/>
  <c r="AE70" i="2"/>
  <c r="AD70" i="2"/>
  <c r="AE69" i="2"/>
  <c r="AD69" i="2"/>
  <c r="AE68" i="2"/>
  <c r="AD68" i="2"/>
  <c r="AE67" i="2"/>
  <c r="AD67" i="2"/>
  <c r="AE66" i="2"/>
  <c r="AD66" i="2"/>
  <c r="AE65" i="2"/>
  <c r="AD65" i="2"/>
  <c r="AE64" i="2"/>
  <c r="AD64" i="2"/>
  <c r="AE63" i="2"/>
  <c r="AD63" i="2"/>
  <c r="AE62" i="2"/>
  <c r="AD62" i="2"/>
  <c r="AE61" i="2"/>
  <c r="AD61" i="2"/>
  <c r="AE60" i="2"/>
  <c r="AD60" i="2"/>
  <c r="AE59" i="2"/>
  <c r="AD59" i="2"/>
  <c r="AE58" i="2"/>
  <c r="AD58" i="2"/>
  <c r="AE57" i="2"/>
  <c r="AD57" i="2"/>
  <c r="AE56" i="2"/>
  <c r="AD56" i="2"/>
  <c r="AE55" i="2"/>
  <c r="AD55" i="2"/>
  <c r="AE54" i="2"/>
  <c r="AD54" i="2"/>
  <c r="AE53" i="2"/>
  <c r="AD53" i="2"/>
  <c r="AE52" i="2"/>
  <c r="AD52" i="2"/>
  <c r="AE51" i="2"/>
  <c r="AD51" i="2"/>
  <c r="AE50" i="2"/>
  <c r="AD50" i="2"/>
  <c r="AE49" i="2"/>
  <c r="AD49" i="2"/>
  <c r="AE48" i="2"/>
  <c r="AD48" i="2"/>
  <c r="AE47" i="2"/>
  <c r="AD47" i="2"/>
  <c r="AE46" i="2"/>
  <c r="AD46" i="2"/>
  <c r="AE45" i="2"/>
  <c r="AD45" i="2"/>
  <c r="AE44" i="2"/>
  <c r="AD44" i="2"/>
  <c r="AE43" i="2"/>
  <c r="AD43" i="2"/>
  <c r="AE42" i="2"/>
  <c r="AD42" i="2"/>
  <c r="AE41" i="2"/>
  <c r="AD41" i="2"/>
  <c r="AE40" i="2"/>
  <c r="AD40" i="2"/>
  <c r="AE39" i="2"/>
  <c r="AD39" i="2"/>
  <c r="AE38" i="2"/>
  <c r="AD38" i="2"/>
  <c r="AE37" i="2"/>
  <c r="AD37" i="2"/>
  <c r="AE36" i="2"/>
  <c r="AD36" i="2"/>
  <c r="AE35" i="2"/>
  <c r="AD35" i="2"/>
  <c r="AE34" i="2"/>
  <c r="AD34" i="2"/>
  <c r="AE33" i="2"/>
  <c r="AD33" i="2"/>
  <c r="AE32" i="2"/>
  <c r="AD32" i="2"/>
  <c r="AE31" i="2"/>
  <c r="AD31" i="2"/>
  <c r="AE30" i="2"/>
  <c r="AD30" i="2"/>
  <c r="AE29" i="2"/>
  <c r="AD29" i="2"/>
  <c r="AE28" i="2"/>
  <c r="AD28" i="2"/>
  <c r="AE27" i="2"/>
  <c r="AD27" i="2"/>
  <c r="AE26" i="2"/>
  <c r="AD26" i="2"/>
  <c r="AE25" i="2"/>
  <c r="AD25" i="2"/>
  <c r="W72" i="2"/>
  <c r="V72" i="2"/>
  <c r="W71" i="2"/>
  <c r="V71" i="2"/>
  <c r="W70" i="2"/>
  <c r="V70" i="2"/>
  <c r="W69" i="2"/>
  <c r="V69" i="2"/>
  <c r="W68" i="2"/>
  <c r="V68" i="2"/>
  <c r="W67" i="2"/>
  <c r="V67" i="2"/>
  <c r="W66" i="2"/>
  <c r="V66" i="2"/>
  <c r="W65" i="2"/>
  <c r="V65" i="2"/>
  <c r="W64" i="2"/>
  <c r="V64" i="2"/>
  <c r="W63" i="2"/>
  <c r="V63" i="2"/>
  <c r="W62" i="2"/>
  <c r="V62" i="2"/>
  <c r="W61" i="2"/>
  <c r="V61" i="2"/>
  <c r="W60" i="2"/>
  <c r="V60" i="2"/>
  <c r="W59" i="2"/>
  <c r="V59" i="2"/>
  <c r="W58" i="2"/>
  <c r="V58" i="2"/>
  <c r="W57" i="2"/>
  <c r="V57" i="2"/>
  <c r="W56" i="2"/>
  <c r="V56" i="2"/>
  <c r="W55" i="2"/>
  <c r="V55" i="2"/>
  <c r="W54" i="2"/>
  <c r="V54" i="2"/>
  <c r="W53" i="2"/>
  <c r="V53" i="2"/>
  <c r="W52" i="2"/>
  <c r="V52" i="2"/>
  <c r="W51" i="2"/>
  <c r="V51" i="2"/>
  <c r="W50" i="2"/>
  <c r="V50" i="2"/>
  <c r="W49" i="2"/>
  <c r="V49" i="2"/>
  <c r="W48" i="2"/>
  <c r="V48" i="2"/>
  <c r="W47" i="2"/>
  <c r="V47" i="2"/>
  <c r="W46" i="2"/>
  <c r="V46" i="2"/>
  <c r="W45" i="2"/>
  <c r="V45" i="2"/>
  <c r="W44" i="2"/>
  <c r="V44" i="2"/>
  <c r="W43" i="2"/>
  <c r="V43" i="2"/>
  <c r="W42" i="2"/>
  <c r="V42" i="2"/>
  <c r="W41" i="2"/>
  <c r="V41" i="2"/>
  <c r="W40" i="2"/>
  <c r="V40" i="2"/>
  <c r="W39" i="2"/>
  <c r="V39" i="2"/>
  <c r="W38" i="2"/>
  <c r="V38" i="2"/>
  <c r="W37" i="2"/>
  <c r="V37" i="2"/>
  <c r="W36" i="2"/>
  <c r="V36" i="2"/>
  <c r="W35" i="2"/>
  <c r="V35" i="2"/>
  <c r="W34" i="2"/>
  <c r="V34" i="2"/>
  <c r="W33" i="2"/>
  <c r="V33" i="2"/>
  <c r="W32" i="2"/>
  <c r="V32" i="2"/>
  <c r="W31" i="2"/>
  <c r="V31" i="2"/>
  <c r="W30" i="2"/>
  <c r="V30" i="2"/>
  <c r="W29" i="2"/>
  <c r="V29" i="2"/>
  <c r="W28" i="2"/>
  <c r="V28" i="2"/>
  <c r="W27" i="2"/>
  <c r="V27" i="2"/>
  <c r="W26" i="2"/>
  <c r="V26" i="2"/>
  <c r="W25" i="2"/>
  <c r="V25" i="2"/>
  <c r="O72" i="2"/>
  <c r="N72" i="2"/>
  <c r="O71" i="2"/>
  <c r="N71" i="2"/>
  <c r="O70" i="2"/>
  <c r="N70" i="2"/>
  <c r="O69" i="2"/>
  <c r="N69" i="2"/>
  <c r="O68" i="2"/>
  <c r="N68" i="2"/>
  <c r="O67" i="2"/>
  <c r="N67" i="2"/>
  <c r="O66" i="2"/>
  <c r="N66" i="2"/>
  <c r="O65" i="2"/>
  <c r="N65" i="2"/>
  <c r="O64" i="2"/>
  <c r="N64" i="2"/>
  <c r="O63" i="2"/>
  <c r="N63" i="2"/>
  <c r="O62" i="2"/>
  <c r="N62" i="2"/>
  <c r="O61" i="2"/>
  <c r="N61" i="2"/>
  <c r="O60" i="2"/>
  <c r="N60" i="2"/>
  <c r="O59" i="2"/>
  <c r="N59" i="2"/>
  <c r="O58" i="2"/>
  <c r="N58" i="2"/>
  <c r="O57" i="2"/>
  <c r="N57" i="2"/>
  <c r="O56" i="2"/>
  <c r="N56" i="2"/>
  <c r="O55" i="2"/>
  <c r="N55" i="2"/>
  <c r="O54" i="2"/>
  <c r="N54" i="2"/>
  <c r="O53" i="2"/>
  <c r="N53" i="2"/>
  <c r="O52" i="2"/>
  <c r="N52" i="2"/>
  <c r="O51" i="2"/>
  <c r="N51" i="2"/>
  <c r="O50" i="2"/>
  <c r="N50" i="2"/>
  <c r="O49" i="2"/>
  <c r="N49" i="2"/>
  <c r="O48" i="2"/>
  <c r="N48" i="2"/>
  <c r="O47" i="2"/>
  <c r="N47" i="2"/>
  <c r="O46" i="2"/>
  <c r="N46" i="2"/>
  <c r="O45" i="2"/>
  <c r="N45" i="2"/>
  <c r="O44" i="2"/>
  <c r="N44" i="2"/>
  <c r="O43" i="2"/>
  <c r="N43" i="2"/>
  <c r="O42" i="2"/>
  <c r="N42" i="2"/>
  <c r="O41" i="2"/>
  <c r="N41" i="2"/>
  <c r="O40" i="2"/>
  <c r="N40" i="2"/>
  <c r="O39" i="2"/>
  <c r="N39" i="2"/>
  <c r="O38" i="2"/>
  <c r="N38" i="2"/>
  <c r="O37" i="2"/>
  <c r="N37" i="2"/>
  <c r="O36" i="2"/>
  <c r="N36" i="2"/>
  <c r="O35" i="2"/>
  <c r="N35" i="2"/>
  <c r="O34" i="2"/>
  <c r="N34" i="2"/>
  <c r="O33" i="2"/>
  <c r="N33" i="2"/>
  <c r="O32" i="2"/>
  <c r="N32" i="2"/>
  <c r="O31" i="2"/>
  <c r="N31" i="2"/>
  <c r="O30" i="2"/>
  <c r="N30" i="2"/>
  <c r="O29" i="2"/>
  <c r="N29" i="2"/>
  <c r="O28" i="2"/>
  <c r="N28" i="2"/>
  <c r="O27" i="2"/>
  <c r="N27" i="2"/>
  <c r="O26" i="2"/>
  <c r="N26" i="2"/>
  <c r="O25" i="2"/>
  <c r="N25"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W30" i="1" l="1"/>
  <c r="BL4" i="3"/>
  <c r="BR24" i="5"/>
  <c r="BO24" i="5"/>
  <c r="BR23" i="5"/>
  <c r="BO23" i="5"/>
  <c r="BR22" i="5"/>
  <c r="BO22" i="5"/>
  <c r="BL22" i="5"/>
  <c r="BR21" i="5"/>
  <c r="BO21" i="5"/>
  <c r="BL21" i="5"/>
  <c r="BR20" i="5"/>
  <c r="BO20" i="5"/>
  <c r="BL20" i="5"/>
  <c r="BR19" i="5"/>
  <c r="BO19" i="5"/>
  <c r="BL19" i="5"/>
  <c r="BR18" i="5"/>
  <c r="BO18" i="5"/>
  <c r="BL18" i="5"/>
  <c r="BR17" i="5"/>
  <c r="BO17" i="5"/>
  <c r="BL17" i="5"/>
  <c r="BR16" i="5"/>
  <c r="BO16" i="5"/>
  <c r="BL16" i="5"/>
  <c r="BR15" i="5"/>
  <c r="BO15" i="5"/>
  <c r="BL15" i="5"/>
  <c r="BR14" i="5"/>
  <c r="BO14" i="5"/>
  <c r="BL14" i="5"/>
  <c r="BR13" i="5"/>
  <c r="BO13" i="5"/>
  <c r="BL13" i="5"/>
  <c r="BR12" i="5"/>
  <c r="BO12" i="5"/>
  <c r="BL12" i="5"/>
  <c r="BR11" i="5"/>
  <c r="BO11" i="5"/>
  <c r="BL11" i="5"/>
  <c r="BR10" i="5"/>
  <c r="BO10" i="5"/>
  <c r="BL10" i="5"/>
  <c r="BR9" i="5"/>
  <c r="BO9" i="5"/>
  <c r="BL9" i="5"/>
  <c r="BR8" i="5"/>
  <c r="BO8" i="5"/>
  <c r="BL8" i="5"/>
  <c r="BR7" i="5"/>
  <c r="BO7" i="5"/>
  <c r="BL7" i="5"/>
  <c r="BR6" i="5"/>
  <c r="BO6" i="5"/>
  <c r="BL6" i="5"/>
  <c r="BR5" i="5"/>
  <c r="BO5" i="5"/>
  <c r="BL5" i="5"/>
  <c r="BR4" i="5"/>
  <c r="BO4" i="5"/>
  <c r="BL4" i="5"/>
  <c r="BR3" i="5"/>
  <c r="BO3" i="5"/>
  <c r="BL3" i="5"/>
  <c r="BG2" i="5"/>
  <c r="BF5" i="5" s="1"/>
  <c r="BR24" i="4"/>
  <c r="BO24" i="4"/>
  <c r="BR23" i="4"/>
  <c r="BO23" i="4"/>
  <c r="BR22" i="4"/>
  <c r="BO22" i="4"/>
  <c r="BL22" i="4"/>
  <c r="BR21" i="4"/>
  <c r="BO21" i="4"/>
  <c r="BL21" i="4"/>
  <c r="BR20" i="4"/>
  <c r="BO20" i="4"/>
  <c r="BL20" i="4"/>
  <c r="BR19" i="4"/>
  <c r="BO19" i="4"/>
  <c r="BL19" i="4"/>
  <c r="BR18" i="4"/>
  <c r="BO18" i="4"/>
  <c r="BL18" i="4"/>
  <c r="BR17" i="4"/>
  <c r="BO17" i="4"/>
  <c r="BL17" i="4"/>
  <c r="BR16" i="4"/>
  <c r="BO16" i="4"/>
  <c r="BL16" i="4"/>
  <c r="BR15" i="4"/>
  <c r="BO15" i="4"/>
  <c r="BL15" i="4"/>
  <c r="BR14" i="4"/>
  <c r="BO14" i="4"/>
  <c r="BL14" i="4"/>
  <c r="BR13" i="4"/>
  <c r="BO13" i="4"/>
  <c r="BL13" i="4"/>
  <c r="BR12" i="4"/>
  <c r="BO12" i="4"/>
  <c r="BL12" i="4"/>
  <c r="BR11" i="4"/>
  <c r="BO11" i="4"/>
  <c r="BL11" i="4"/>
  <c r="BR10" i="4"/>
  <c r="BO10" i="4"/>
  <c r="BL10" i="4"/>
  <c r="BR9" i="4"/>
  <c r="BO9" i="4"/>
  <c r="BL9" i="4"/>
  <c r="BR8" i="4"/>
  <c r="BO8" i="4"/>
  <c r="BL8" i="4"/>
  <c r="BR7" i="4"/>
  <c r="BO7" i="4"/>
  <c r="BL7" i="4"/>
  <c r="BR6" i="4"/>
  <c r="BO6" i="4"/>
  <c r="BL6" i="4"/>
  <c r="BR5" i="4"/>
  <c r="BO5" i="4"/>
  <c r="BL5" i="4"/>
  <c r="BR4" i="4"/>
  <c r="BO4" i="4"/>
  <c r="BL4" i="4"/>
  <c r="BR3" i="4"/>
  <c r="BO3" i="4"/>
  <c r="BL3" i="4"/>
  <c r="BG2" i="4"/>
  <c r="BF2" i="4" s="1"/>
  <c r="BR24" i="3"/>
  <c r="BO24" i="3"/>
  <c r="BR23" i="3"/>
  <c r="BO23" i="3"/>
  <c r="BR22" i="3"/>
  <c r="BO22" i="3"/>
  <c r="BL22" i="3"/>
  <c r="BR21" i="3"/>
  <c r="BO21" i="3"/>
  <c r="BL21" i="3"/>
  <c r="BR20" i="3"/>
  <c r="BO20" i="3"/>
  <c r="BL20" i="3"/>
  <c r="BR19" i="3"/>
  <c r="BO19" i="3"/>
  <c r="BL19" i="3"/>
  <c r="BR18" i="3"/>
  <c r="BO18" i="3"/>
  <c r="BL18" i="3"/>
  <c r="BR17" i="3"/>
  <c r="BO17" i="3"/>
  <c r="BL17" i="3"/>
  <c r="BR16" i="3"/>
  <c r="BO16" i="3"/>
  <c r="BL16" i="3"/>
  <c r="BR15" i="3"/>
  <c r="BO15" i="3"/>
  <c r="BL15" i="3"/>
  <c r="BR14" i="3"/>
  <c r="BO14" i="3"/>
  <c r="BL14" i="3"/>
  <c r="BR13" i="3"/>
  <c r="BO13" i="3"/>
  <c r="BL13" i="3"/>
  <c r="BR12" i="3"/>
  <c r="BO12" i="3"/>
  <c r="BL12" i="3"/>
  <c r="BR11" i="3"/>
  <c r="BO11" i="3"/>
  <c r="BL11" i="3"/>
  <c r="BR10" i="3"/>
  <c r="BO10" i="3"/>
  <c r="BL10" i="3"/>
  <c r="BR9" i="3"/>
  <c r="BO9" i="3"/>
  <c r="BL9" i="3"/>
  <c r="BR8" i="3"/>
  <c r="BO8" i="3"/>
  <c r="BL8" i="3"/>
  <c r="BR7" i="3"/>
  <c r="BO7" i="3"/>
  <c r="BL7" i="3"/>
  <c r="BR6" i="3"/>
  <c r="BO6" i="3"/>
  <c r="BL6" i="3"/>
  <c r="BR5" i="3"/>
  <c r="BO5" i="3"/>
  <c r="BL5" i="3"/>
  <c r="BR4" i="3"/>
  <c r="BO4" i="3"/>
  <c r="BR3" i="3"/>
  <c r="BO3" i="3"/>
  <c r="BL3" i="3"/>
  <c r="BG2" i="3"/>
  <c r="BF4" i="3" s="1"/>
  <c r="BR4" i="2"/>
  <c r="BR5" i="2"/>
  <c r="BR6" i="2"/>
  <c r="BR7" i="2"/>
  <c r="BR8" i="2"/>
  <c r="BR9" i="2"/>
  <c r="BR10" i="2"/>
  <c r="BR11" i="2"/>
  <c r="BR12" i="2"/>
  <c r="BR13" i="2"/>
  <c r="BR14" i="2"/>
  <c r="BR15" i="2"/>
  <c r="BR16" i="2"/>
  <c r="BR17" i="2"/>
  <c r="BR18" i="2"/>
  <c r="BR19" i="2"/>
  <c r="BR20" i="2"/>
  <c r="BR21" i="2"/>
  <c r="BR22" i="2"/>
  <c r="BR23" i="2"/>
  <c r="BR24" i="2"/>
  <c r="BR3" i="2"/>
  <c r="BO4" i="2"/>
  <c r="BO5" i="2"/>
  <c r="BO6" i="2"/>
  <c r="BO7" i="2"/>
  <c r="BO8" i="2"/>
  <c r="BO9" i="2"/>
  <c r="BO10" i="2"/>
  <c r="BO11" i="2"/>
  <c r="BO12" i="2"/>
  <c r="BO13" i="2"/>
  <c r="BO14" i="2"/>
  <c r="BO15" i="2"/>
  <c r="BO16" i="2"/>
  <c r="BO17" i="2"/>
  <c r="BO18" i="2"/>
  <c r="BO19" i="2"/>
  <c r="BO20" i="2"/>
  <c r="BO21" i="2"/>
  <c r="BO22" i="2"/>
  <c r="BO23" i="2"/>
  <c r="BO24" i="2"/>
  <c r="BO3" i="2"/>
  <c r="BL4" i="2"/>
  <c r="BL5" i="2"/>
  <c r="BL6" i="2"/>
  <c r="BL7" i="2"/>
  <c r="BL8" i="2"/>
  <c r="BL9" i="2"/>
  <c r="BL10" i="2"/>
  <c r="BL11" i="2"/>
  <c r="BL12" i="2"/>
  <c r="BL13" i="2"/>
  <c r="BL14" i="2"/>
  <c r="BL15" i="2"/>
  <c r="BL16" i="2"/>
  <c r="BL17" i="2"/>
  <c r="BL18" i="2"/>
  <c r="BL19" i="2"/>
  <c r="BL20" i="2"/>
  <c r="BL21" i="2"/>
  <c r="BL22" i="2"/>
  <c r="BL3" i="2"/>
  <c r="BG2" i="2"/>
  <c r="BF1" i="2" s="1"/>
  <c r="BF2" i="5" l="1"/>
  <c r="BF2" i="3"/>
  <c r="BF1" i="3"/>
  <c r="BF4" i="5"/>
  <c r="BF1" i="5"/>
  <c r="BF3" i="4"/>
  <c r="BF5" i="4"/>
  <c r="BF3" i="3"/>
  <c r="BF5" i="3"/>
  <c r="BF4" i="4"/>
  <c r="BF1" i="4"/>
  <c r="BF3" i="5"/>
  <c r="BF15" i="5"/>
  <c r="BF5" i="2"/>
  <c r="BF3" i="2"/>
  <c r="BF2" i="2"/>
  <c r="BF4" i="2"/>
  <c r="CB3" i="5" l="1" a="1"/>
  <c r="CB3" i="5" s="1"/>
  <c r="BY3" i="5" a="1"/>
  <c r="BY3" i="5" s="1"/>
  <c r="CT3" i="5" a="1"/>
  <c r="CT3" i="5" s="1"/>
  <c r="BV3" i="5" a="1"/>
  <c r="BV3" i="5" s="1"/>
  <c r="CQ3" i="5" a="1"/>
  <c r="CQ3" i="5" s="1"/>
  <c r="BS3" i="5" a="1"/>
  <c r="BS3" i="5" s="1"/>
  <c r="CN3" i="5" a="1"/>
  <c r="CN3" i="5" s="1"/>
  <c r="CK3" i="5" a="1"/>
  <c r="CK3" i="5" s="1"/>
  <c r="CH3" i="5" a="1"/>
  <c r="CH3" i="5" s="1"/>
  <c r="CE3" i="5" a="1"/>
  <c r="CE3" i="5" s="1"/>
  <c r="BF15" i="2"/>
  <c r="BF15" i="3"/>
  <c r="BF15" i="4"/>
  <c r="BH19" i="5" l="1" a="1"/>
  <c r="BH19" i="5" s="1"/>
  <c r="BG19" i="5" a="1"/>
  <c r="BF19" i="5" a="1"/>
  <c r="BF19" i="5" s="1"/>
  <c r="BE19" i="5" a="1"/>
  <c r="CH3" i="3" a="1"/>
  <c r="CH3" i="3" s="1"/>
  <c r="CE3" i="3" a="1"/>
  <c r="CE3" i="3" s="1"/>
  <c r="CB3" i="3" a="1"/>
  <c r="CB3" i="3" s="1"/>
  <c r="BY3" i="3" a="1"/>
  <c r="BY3" i="3" s="1"/>
  <c r="CT3" i="3" a="1"/>
  <c r="CT3" i="3" s="1"/>
  <c r="BV3" i="3" a="1"/>
  <c r="BV3" i="3" s="1"/>
  <c r="BS3" i="3" a="1"/>
  <c r="BS3" i="3" s="1"/>
  <c r="CQ3" i="3" a="1"/>
  <c r="CQ3" i="3" s="1"/>
  <c r="CN3" i="3" a="1"/>
  <c r="CN3" i="3" s="1"/>
  <c r="CK3" i="3" a="1"/>
  <c r="CK3" i="3" s="1"/>
  <c r="CE3" i="4" a="1"/>
  <c r="CE3" i="4" s="1"/>
  <c r="CB3" i="4" a="1"/>
  <c r="CB3" i="4" s="1"/>
  <c r="BY3" i="4" a="1"/>
  <c r="BY3" i="4" s="1"/>
  <c r="CT3" i="4" a="1"/>
  <c r="CT3" i="4" s="1"/>
  <c r="BV3" i="4" a="1"/>
  <c r="BV3" i="4" s="1"/>
  <c r="CQ3" i="4" a="1"/>
  <c r="CQ3" i="4" s="1"/>
  <c r="BS3" i="4" a="1"/>
  <c r="BS3" i="4" s="1"/>
  <c r="CN3" i="4" a="1"/>
  <c r="CN3" i="4" s="1"/>
  <c r="CK3" i="4" a="1"/>
  <c r="CK3" i="4" s="1"/>
  <c r="CH3" i="4" a="1"/>
  <c r="CH3" i="4" s="1"/>
  <c r="CQ3" i="2" a="1"/>
  <c r="CQ3" i="2" s="1"/>
  <c r="BS3" i="2" a="1"/>
  <c r="BS3" i="2" s="1"/>
  <c r="CN3" i="2" a="1"/>
  <c r="CN3" i="2" s="1"/>
  <c r="CK3" i="2" a="1"/>
  <c r="CK3" i="2" s="1"/>
  <c r="BV3" i="2" a="1"/>
  <c r="BV3" i="2" s="1"/>
  <c r="CH3" i="2" a="1"/>
  <c r="CH3" i="2" s="1"/>
  <c r="CE3" i="2" a="1"/>
  <c r="CE3" i="2" s="1"/>
  <c r="CB3" i="2" a="1"/>
  <c r="CB3" i="2" s="1"/>
  <c r="BY3" i="2" a="1"/>
  <c r="BY3" i="2" s="1"/>
  <c r="CT3" i="2" a="1"/>
  <c r="CT3" i="2" s="1"/>
  <c r="BF19" i="3" l="1" a="1"/>
  <c r="BF19" i="3" s="1"/>
  <c r="BE19" i="3" a="1"/>
  <c r="BE19" i="3" s="1"/>
  <c r="BH19" i="3" a="1"/>
  <c r="BH19" i="3" s="1"/>
  <c r="BG19" i="3" a="1"/>
  <c r="BG19" i="3" s="1"/>
  <c r="BH19" i="2" a="1"/>
  <c r="BH19" i="2" s="1"/>
  <c r="BG19" i="2" a="1"/>
  <c r="BF19" i="2" a="1"/>
  <c r="BF19" i="2" s="1"/>
  <c r="BE19" i="2" a="1"/>
  <c r="BF19" i="4" a="1"/>
  <c r="BF19" i="4" s="1"/>
  <c r="BE19" i="4" a="1"/>
  <c r="BH19" i="4" a="1"/>
  <c r="BH19" i="4" s="1"/>
  <c r="BG19" i="4" a="1"/>
  <c r="BE19" i="5"/>
  <c r="BG19" i="5"/>
  <c r="BE19" i="2" l="1"/>
  <c r="BG19" i="2"/>
  <c r="S33" i="1" a="1"/>
  <c r="S33" i="1" s="1"/>
  <c r="O33" i="1" a="1"/>
  <c r="O33" i="1" s="1"/>
  <c r="BG19" i="4"/>
  <c r="BE19" i="4"/>
  <c r="U39" i="1" l="1"/>
  <c r="U42" i="1"/>
  <c r="U44" i="1"/>
  <c r="U38" i="1"/>
  <c r="U40" i="1"/>
  <c r="U43" i="1"/>
  <c r="U45" i="1"/>
  <c r="U41" i="1"/>
  <c r="U48" i="1"/>
  <c r="U46" i="1"/>
  <c r="U47" i="1"/>
  <c r="U36" i="1"/>
  <c r="U37" i="1"/>
  <c r="U34" i="1"/>
  <c r="U35" i="1"/>
  <c r="U33" i="1"/>
  <c r="Q42" i="1"/>
  <c r="Q46" i="1"/>
  <c r="Q47" i="1"/>
  <c r="Q38" i="1"/>
  <c r="Q44" i="1"/>
  <c r="Q40" i="1"/>
  <c r="Q39" i="1"/>
  <c r="Q45" i="1"/>
  <c r="Q48" i="1"/>
  <c r="Q43" i="1"/>
  <c r="Q41" i="1"/>
  <c r="Q33" i="1"/>
  <c r="Q36" i="1"/>
  <c r="Q34" i="1"/>
  <c r="Q35" i="1"/>
  <c r="Q37"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<sst xmlns="http://schemas.openxmlformats.org/spreadsheetml/2006/main" count="3829" uniqueCount="129">
  <si>
    <t>Viewing Source</t>
  </si>
  <si>
    <t>Affil.</t>
  </si>
  <si>
    <t>Program</t>
  </si>
  <si>
    <t xml:space="preserve">Start Time </t>
  </si>
  <si>
    <t xml:space="preserve">End Time </t>
  </si>
  <si>
    <t>Dates</t>
  </si>
  <si>
    <t>JUN 22</t>
  </si>
  <si>
    <t>MAY 23</t>
  </si>
  <si>
    <t>JUN 23</t>
  </si>
  <si>
    <t>Demo</t>
  </si>
  <si>
    <t>P18-49</t>
  </si>
  <si>
    <t>P25-54</t>
  </si>
  <si>
    <t>F25-54</t>
  </si>
  <si>
    <t>Metrics</t>
  </si>
  <si>
    <t>RTG % (X.X)</t>
  </si>
  <si>
    <t xml:space="preserve">SHR % </t>
  </si>
  <si>
    <t xml:space="preserve">IMP </t>
  </si>
  <si>
    <t>HUT/PUT IMP (0)</t>
  </si>
  <si>
    <t>HUT/PUT % (X.X)</t>
  </si>
  <si>
    <t>10:00 AM</t>
  </si>
  <si>
    <t/>
  </si>
  <si>
    <t>12:00 PM</t>
  </si>
  <si>
    <t>1:00 PM</t>
  </si>
  <si>
    <t>11:00 AM</t>
  </si>
  <si>
    <t>11:45 AM</t>
  </si>
  <si>
    <t>12:30 PM</t>
  </si>
  <si>
    <t>5:00 PM</t>
  </si>
  <si>
    <t>5:30 PM</t>
  </si>
  <si>
    <t>6:00 PM</t>
  </si>
  <si>
    <t>6:30 PM</t>
  </si>
  <si>
    <t>7:00 PM</t>
  </si>
  <si>
    <t>4:00 PM</t>
  </si>
  <si>
    <t>4:30 PM</t>
  </si>
  <si>
    <t>10:00 PM</t>
  </si>
  <si>
    <t>10:45 PM</t>
  </si>
  <si>
    <t>10:15 PM</t>
  </si>
  <si>
    <t>9:15 PM</t>
  </si>
  <si>
    <t>9:30 PM</t>
  </si>
  <si>
    <t>10:30 PM</t>
  </si>
  <si>
    <t>9:00 PM</t>
  </si>
  <si>
    <t>9:45 PM</t>
  </si>
  <si>
    <t>STATION</t>
  </si>
  <si>
    <t>RTG %</t>
  </si>
  <si>
    <t>HUT/PUT IMP</t>
  </si>
  <si>
    <t>HUT/PUT %</t>
  </si>
  <si>
    <t>DEMO</t>
  </si>
  <si>
    <t>MN_</t>
  </si>
  <si>
    <t>Midd_</t>
  </si>
  <si>
    <t>EV_</t>
  </si>
  <si>
    <t>B-T-B</t>
  </si>
  <si>
    <t>Y-T-Y</t>
  </si>
  <si>
    <t>RATINGS %</t>
  </si>
  <si>
    <t>SHR %</t>
  </si>
  <si>
    <t>Row Labels</t>
  </si>
  <si>
    <t>Grand Total</t>
  </si>
  <si>
    <t>SHARE %</t>
  </si>
  <si>
    <t>IMPRESSIONS</t>
  </si>
  <si>
    <t>IMP</t>
  </si>
  <si>
    <t>H/P IMP</t>
  </si>
  <si>
    <t>H/P %</t>
  </si>
  <si>
    <t>Currnt</t>
  </si>
  <si>
    <t>Lst Yr</t>
  </si>
  <si>
    <t>Lst Mnth</t>
  </si>
  <si>
    <t>BTB</t>
  </si>
  <si>
    <t>YTY</t>
  </si>
  <si>
    <t>Last Year</t>
  </si>
  <si>
    <t>Last Month</t>
  </si>
  <si>
    <t>Current</t>
  </si>
  <si>
    <t>FILTERS</t>
  </si>
  <si>
    <t>Current Ratings</t>
  </si>
  <si>
    <t>Share %</t>
  </si>
  <si>
    <t>Impresions</t>
  </si>
  <si>
    <t>Hut/Put imp</t>
  </si>
  <si>
    <t>Hut/Put %</t>
  </si>
  <si>
    <t>'!E</t>
  </si>
  <si>
    <t>'!M</t>
  </si>
  <si>
    <t>'!U</t>
  </si>
  <si>
    <t>'!AC</t>
  </si>
  <si>
    <t>'!AK</t>
  </si>
  <si>
    <t>='</t>
  </si>
  <si>
    <t>Filter Results P25-54</t>
  </si>
  <si>
    <t>Filter Results P18-49</t>
  </si>
  <si>
    <t>Filter Results F25-54</t>
  </si>
  <si>
    <t>RATINGS</t>
  </si>
  <si>
    <t>IMPRESIONS</t>
  </si>
  <si>
    <t>HUT/PUT IMP.</t>
  </si>
  <si>
    <t>Start Row</t>
  </si>
  <si>
    <t>Last Row</t>
  </si>
  <si>
    <t>LN_</t>
  </si>
  <si>
    <t>Station 1</t>
  </si>
  <si>
    <t>Station 2</t>
  </si>
  <si>
    <t>Station 3</t>
  </si>
  <si>
    <t>Station 4</t>
  </si>
  <si>
    <t>ST1</t>
  </si>
  <si>
    <t>ST2</t>
  </si>
  <si>
    <t>ST3</t>
  </si>
  <si>
    <t>ST4</t>
  </si>
  <si>
    <t xml:space="preserve">ST1-Program 1 @ 9A </t>
  </si>
  <si>
    <t>ST1-Program 2 @ 10A</t>
  </si>
  <si>
    <t>ST1-Program 3 @ 1130A</t>
  </si>
  <si>
    <t>ST1 -Program 4 @ 12P</t>
  </si>
  <si>
    <t>ST1 -Program 5 @ 1230P</t>
  </si>
  <si>
    <t>ST2-Program 1</t>
  </si>
  <si>
    <t>ST2-Program 2</t>
  </si>
  <si>
    <t>ST2-Program 3</t>
  </si>
  <si>
    <t>ST2-Program 4</t>
  </si>
  <si>
    <t>ST3-Program 1 @ 9A</t>
  </si>
  <si>
    <t>ST3-Program 2 @ 10A</t>
  </si>
  <si>
    <t>ST3-Program 3 @ 11A</t>
  </si>
  <si>
    <t>ST3-Program 4 @ 1130A</t>
  </si>
  <si>
    <t>ST3-Program 5 @ 12P</t>
  </si>
  <si>
    <t>ST4 - Program 1</t>
  </si>
  <si>
    <t>ST4 - Program 2</t>
  </si>
  <si>
    <t>ST1 -Program 1</t>
  </si>
  <si>
    <t>ST1 -Program 2</t>
  </si>
  <si>
    <t>ST2 - Program 1</t>
  </si>
  <si>
    <t>ST3 - Program 1</t>
  </si>
  <si>
    <t>ST1-Program 1</t>
  </si>
  <si>
    <t xml:space="preserve">ST1-Program 2 </t>
  </si>
  <si>
    <t xml:space="preserve">ST1-Program 3 </t>
  </si>
  <si>
    <t>ST3-Program 1</t>
  </si>
  <si>
    <t>ST3-Program 2</t>
  </si>
  <si>
    <t>Station 5</t>
  </si>
  <si>
    <t>ST5</t>
  </si>
  <si>
    <t>ST5 - Program 1</t>
  </si>
  <si>
    <t>Morning Programs</t>
  </si>
  <si>
    <t>Midday Programs</t>
  </si>
  <si>
    <t>Evening Programs</t>
  </si>
  <si>
    <t>Late Programs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</si>
</sst>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2" x14ac:knownFonts="1">
    <font>
      <sz val="11"/>
      <color theme="1"/>
      <name val="Calibri"/>
      <family val="2"/>
      <scheme val="minor"/>
    </font>
    <font>
      <b/>
      <sz val="8"/>
      <name val="Tahoma"/>
    </font>
    <font>
      <sz val="8"/>
      <name val="Tahoma"/>
    </font>
    <font>
      <sz val="11"/>
      <color theme="0"/>
      <name val="Calibri"/>
      <family val="2"/>
      <scheme val="minor"/>
    </font>
    <font>
      <sz val="8"/>
      <name val="Calibri"/>
      <family val="2"/>
      <scheme val="minor"/>
    </font>
    <font>
      <b/>
      <sz val="12"/>
      <color theme="1"/>
      <name val="Arial"/>
      <family val="2"/>
    </font>
    <font>
      <sz val="11"/>
      <color theme="8" tint="-0.499984740745262"/>
      <name val="Calibri"/>
      <family val="2"/>
      <scheme val="minor"/>
    </font>
    <font>
      <b/>
      <sz val="18"/>
      <color theme="0"/>
      <name val="Calibri"/>
      <family val="2"/>
      <scheme val="minor"/>
    </font>
    <font>
      <b/>
      <sz val="11"/>
      <color theme="1"/>
      <name val="Calibri"/>
      <family val="2"/>
      <scheme val="minor"/>
    </font>
    <font>
      <b/>
      <sz val="12"/>
      <color theme="0"/>
      <name val="Calibri"/>
      <family val="2"/>
      <scheme val="minor"/>
    </font>
    <font>
      <b/>
      <sz val="14"/>
      <color theme="0"/>
      <name val="Calibri"/>
      <family val="2"/>
      <scheme val="minor"/>
    </font>
    <font>
      <sz val="14"/>
      <color theme="0"/>
      <name val="Calibri"/>
      <family val="2"/>
      <scheme val="minor"/>
    </font>
  </fonts>
  <fills count="13">
    <fill>
      <patternFill patternType="none"/>
    </fill>
    <fill>
      <patternFill patternType="gray125"/>
    </fill>
    <fill>
      <patternFill patternType="solid">
        <fgColor indexed="44"/>
      </patternFill>
    </fill>
    <fill>
      <patternFill patternType="solid">
        <fgColor rgb="FF99CCFF"/>
        <bgColor indexed="64"/>
      </patternFill>
    </fill>
    <fill>
      <patternFill patternType="solid">
        <fgColor indexed="47"/>
      </patternFill>
    </fill>
    <fill>
      <patternFill patternType="solid">
        <fgColor rgb="FF92D050"/>
        <bgColor indexed="64"/>
      </patternFill>
    </fill>
    <fill>
      <patternFill patternType="solid">
        <fgColor theme="8" tint="-0.499984740745262"/>
        <bgColor indexed="64"/>
      </patternFill>
    </fill>
    <fill>
      <patternFill patternType="solid">
        <fgColor theme="3"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59999389629810485"/>
        <bgColor indexed="64"/>
      </patternFill>
    </fill>
    <fill>
      <patternFill patternType="solid">
        <fgColor theme="2"/>
        <bgColor indexed="64"/>
      </patternFill>
    </fill>
    <fill>
      <patternFill patternType="solid">
        <fgColor theme="6" tint="0.79998168889431442"/>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55">
    <xf numFmtId="0" fontId="0" fillId="0" borderId="0" xfId="0"/>
    <xf numFmtId="0" fontId="1" fillId="2" borderId="1" xfId="0" applyFont="1" applyFill="1" applyBorder="1" applyAlignment="1">
      <alignment horizontal="left" vertical="center" wrapText="1"/>
    </xf>
    <xf numFmtId="0" fontId="1" fillId="3" borderId="1" xfId="0" applyFont="1" applyFill="1" applyBorder="1" applyAlignment="1">
      <alignment horizontal="left" vertical="center" wrapText="1"/>
    </xf>
    <xf numFmtId="0" fontId="1" fillId="4" borderId="1" xfId="0" applyFont="1" applyFill="1" applyBorder="1" applyAlignment="1">
      <alignment vertical="center" wrapText="1"/>
    </xf>
    <xf numFmtId="0" fontId="2" fillId="0" borderId="1" xfId="0" applyFont="1" applyBorder="1" applyAlignment="1">
      <alignment vertical="center" wrapText="1"/>
    </xf>
    <xf numFmtId="164" fontId="2" fillId="0" borderId="1" xfId="0" applyNumberFormat="1" applyFont="1" applyBorder="1" applyAlignment="1">
      <alignment vertical="center" wrapText="1"/>
    </xf>
    <xf numFmtId="3" fontId="2" fillId="0" borderId="1" xfId="0" applyNumberFormat="1" applyFont="1" applyBorder="1" applyAlignment="1">
      <alignment vertical="center" wrapText="1"/>
    </xf>
    <xf numFmtId="0" fontId="2" fillId="5" borderId="1" xfId="0" applyFont="1" applyFill="1" applyBorder="1" applyAlignment="1">
      <alignment vertical="center" wrapText="1"/>
    </xf>
    <xf numFmtId="164" fontId="2" fillId="5" borderId="1" xfId="0" applyNumberFormat="1" applyFont="1" applyFill="1" applyBorder="1" applyAlignment="1">
      <alignment vertical="center" wrapText="1"/>
    </xf>
    <xf numFmtId="3" fontId="2" fillId="5" borderId="1" xfId="0" applyNumberFormat="1" applyFont="1" applyFill="1" applyBorder="1" applyAlignment="1">
      <alignment vertical="center" wrapText="1"/>
    </xf>
    <xf numFmtId="0" fontId="0" fillId="0" borderId="0" xfId="0" pivotButton="1"/>
    <xf numFmtId="0" fontId="0" fillId="0" borderId="0" xfId="0" applyAlignment="1">
      <alignment horizontal="left"/>
    </xf>
    <xf numFmtId="0" fontId="0" fillId="0" borderId="0" xfId="0" applyAlignment="1">
      <alignment horizontal="left" indent="1"/>
    </xf>
    <xf numFmtId="2" fontId="0" fillId="0" borderId="0" xfId="0" applyNumberFormat="1"/>
    <xf numFmtId="0" fontId="0" fillId="6" borderId="0" xfId="0" applyFill="1"/>
    <xf numFmtId="2" fontId="0" fillId="6" borderId="0" xfId="0" applyNumberFormat="1" applyFill="1"/>
    <xf numFmtId="0" fontId="3" fillId="7" borderId="0" xfId="0" applyFont="1" applyFill="1" applyAlignment="1">
      <alignment horizontal="center"/>
    </xf>
    <xf numFmtId="0" fontId="3" fillId="7" borderId="0" xfId="0" applyFont="1" applyFill="1"/>
    <xf numFmtId="0" fontId="0" fillId="8" borderId="0" xfId="0" applyFill="1"/>
    <xf numFmtId="2" fontId="0" fillId="8" borderId="0" xfId="0" applyNumberFormat="1" applyFill="1" applyAlignment="1">
      <alignment horizontal="center"/>
    </xf>
    <xf numFmtId="2" fontId="0" fillId="8" borderId="0" xfId="0" applyNumberFormat="1" applyFill="1"/>
    <xf numFmtId="0" fontId="0" fillId="0" borderId="0" xfId="0" quotePrefix="1"/>
    <xf numFmtId="0" fontId="0" fillId="11" borderId="0" xfId="0" applyFill="1"/>
    <xf numFmtId="0" fontId="0" fillId="12" borderId="5" xfId="0" applyFill="1" applyBorder="1"/>
    <xf numFmtId="0" fontId="0" fillId="12" borderId="6" xfId="0" applyFill="1" applyBorder="1"/>
    <xf numFmtId="0" fontId="6" fillId="6" borderId="0" xfId="0" applyFont="1" applyFill="1"/>
    <xf numFmtId="0" fontId="7" fillId="7" borderId="0" xfId="0" applyFont="1" applyFill="1" applyAlignment="1">
      <alignment horizontal="center"/>
    </xf>
    <xf numFmtId="0" fontId="0" fillId="10" borderId="0" xfId="0" applyFill="1"/>
    <xf numFmtId="0" fontId="0" fillId="8" borderId="0" xfId="0" applyFill="1" applyAlignment="1">
      <alignment horizontal="left"/>
    </xf>
    <xf numFmtId="0" fontId="0" fillId="8" borderId="7" xfId="0" applyFill="1" applyBorder="1" applyAlignment="1">
      <alignment horizontal="center"/>
    </xf>
    <xf numFmtId="0" fontId="0" fillId="8" borderId="8" xfId="0" applyFill="1" applyBorder="1" applyAlignment="1">
      <alignment horizontal="left"/>
    </xf>
    <xf numFmtId="0" fontId="0" fillId="8" borderId="9" xfId="0" applyFill="1" applyBorder="1"/>
    <xf numFmtId="0" fontId="0" fillId="0" borderId="11" xfId="0" applyBorder="1"/>
    <xf numFmtId="0" fontId="0" fillId="8" borderId="11" xfId="0" applyFill="1" applyBorder="1"/>
    <xf numFmtId="0" fontId="0" fillId="8" borderId="12" xfId="0" applyFill="1" applyBorder="1"/>
    <xf numFmtId="0" fontId="0" fillId="8" borderId="13" xfId="0" applyFill="1" applyBorder="1"/>
    <xf numFmtId="0" fontId="0" fillId="8" borderId="14" xfId="0" applyFill="1" applyBorder="1"/>
    <xf numFmtId="0" fontId="0" fillId="0" borderId="15" xfId="0" applyBorder="1"/>
    <xf numFmtId="0" fontId="0" fillId="0" borderId="16" xfId="0" applyBorder="1"/>
    <xf numFmtId="0" fontId="0" fillId="0" borderId="16" xfId="0" quotePrefix="1" applyBorder="1"/>
    <xf numFmtId="0" fontId="8" fillId="0" borderId="10" xfId="0" applyFont="1" applyBorder="1" applyAlignment="1">
      <alignment horizontal="right"/>
    </xf>
    <xf numFmtId="0" fontId="8" fillId="8" borderId="10" xfId="0" applyFont="1" applyFill="1" applyBorder="1" applyAlignment="1">
      <alignment horizontal="right"/>
    </xf>
    <xf numFmtId="0" fontId="0" fillId="0" borderId="10" xfId="0" applyBorder="1" applyAlignment="1">
      <alignment horizontal="right"/>
    </xf>
    <xf numFmtId="0" fontId="0" fillId="8" borderId="10" xfId="0" applyFill="1" applyBorder="1" applyAlignment="1">
      <alignment horizontal="right"/>
    </xf>
    <xf numFmtId="18" fontId="2" fillId="0" borderId="1" xfId="0" applyNumberFormat="1" applyFont="1" applyBorder="1" applyAlignment="1">
      <alignment horizontal="left" vertical="center" wrapText="1"/>
    </xf>
    <xf numFmtId="0" fontId="9" fillId="7" borderId="0" xfId="0" applyFont="1" applyFill="1" applyAlignment="1">
      <alignment horizontal="center"/>
    </xf>
    <xf numFmtId="0" fontId="10" fillId="7" borderId="0" xfId="0" applyFont="1" applyFill="1" applyAlignment="1">
      <alignment horizontal="center" vertical="center"/>
    </xf>
    <xf numFmtId="0" fontId="11" fillId="7" borderId="0" xfId="0" applyFont="1" applyFill="1" applyAlignment="1">
      <alignment horizontal="center" vertical="center"/>
    </xf>
    <xf numFmtId="0" fontId="5" fillId="9" borderId="2" xfId="0" applyFont="1" applyFill="1" applyBorder="1" applyAlignment="1">
      <alignment horizontal="center" vertical="center"/>
    </xf>
    <xf numFmtId="0" fontId="5" fillId="9" borderId="3" xfId="0" applyFont="1" applyFill="1" applyBorder="1" applyAlignment="1">
      <alignment horizontal="center" vertical="center"/>
    </xf>
    <xf numFmtId="0" fontId="5" fillId="9" borderId="4" xfId="0" applyFont="1" applyFill="1" applyBorder="1" applyAlignment="1">
      <alignment horizontal="center" vertical="center"/>
    </xf>
    <xf numFmtId="0" fontId="0" fillId="10" borderId="0" xfId="0" applyFill="1" applyAlignment="1">
      <alignment horizontal="center"/>
    </xf>
    <xf numFmtId="0" fontId="1" fillId="4" borderId="1" xfId="0" applyFont="1" applyFill="1" applyBorder="1" applyAlignment="1">
      <alignment vertical="center" wrapText="1"/>
    </xf>
    <xf numFmtId="0" fontId="1" fillId="2" borderId="1" xfId="0" applyFont="1" applyFill="1" applyBorder="1" applyAlignment="1">
      <alignment horizontal="left" vertical="center" wrapText="1"/>
    </xf>
    <xf numFmtId="0" fontId="1" fillId="3" borderId="1" xfId="0" applyFont="1" applyFill="1" applyBorder="1" applyAlignment="1">
      <alignment horizontal="center" vertical="center" wrapText="1"/>
    </xf>
  </cellXfs>
  <cellStyles count="1">
    <cellStyle name="Normal" xfId="0" builtinId="0"/>
  </cellStyles>
  <dxfs count="100">
    <dxf>
      <font>
        <b val="0"/>
        <i val="0"/>
        <strike val="0"/>
        <condense val="0"/>
        <extend val="0"/>
        <outline val="0"/>
        <shadow val="0"/>
        <u val="none"/>
        <vertAlign val="baseline"/>
        <sz val="8"/>
        <color auto="1"/>
        <name val="Tahoma"/>
        <scheme val="none"/>
      </font>
      <numFmt numFmtId="164" formatCode="#,##0.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164" formatCode="#,##0.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164" formatCode="#,##0.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dxf>
    <dxf>
      <font>
        <b val="0"/>
        <i val="0"/>
        <strike val="0"/>
        <condense val="0"/>
        <extend val="0"/>
        <outline val="0"/>
        <shadow val="0"/>
        <u val="none"/>
        <vertAlign val="baseline"/>
        <sz val="8"/>
        <color auto="1"/>
        <name val="Tahoma"/>
        <scheme val="none"/>
      </font>
      <numFmt numFmtId="164" formatCode="#,##0.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164" formatCode="#,##0.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164" formatCode="#,##0.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dxf>
    <dxf>
      <font>
        <b val="0"/>
        <i val="0"/>
        <strike val="0"/>
        <condense val="0"/>
        <extend val="0"/>
        <outline val="0"/>
        <shadow val="0"/>
        <u val="none"/>
        <vertAlign val="baseline"/>
        <sz val="8"/>
        <color auto="1"/>
        <name val="Tahoma"/>
        <scheme val="none"/>
      </font>
      <numFmt numFmtId="164" formatCode="#,##0.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164" formatCode="#,##0.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164" formatCode="#,##0.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dxf>
    <dxf>
      <font>
        <b val="0"/>
        <i val="0"/>
        <strike val="0"/>
        <condense val="0"/>
        <extend val="0"/>
        <outline val="0"/>
        <shadow val="0"/>
        <u val="none"/>
        <vertAlign val="baseline"/>
        <sz val="8"/>
        <color auto="1"/>
        <name val="Tahoma"/>
        <scheme val="none"/>
      </font>
      <numFmt numFmtId="164" formatCode="#,##0.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164" formatCode="#,##0.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164" formatCode="#,##0.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dxf>
    <dxf>
      <font>
        <b val="0"/>
        <i val="0"/>
        <strike val="0"/>
        <condense val="0"/>
        <extend val="0"/>
        <outline val="0"/>
        <shadow val="0"/>
        <u val="none"/>
        <vertAlign val="baseline"/>
        <sz val="8"/>
        <color auto="1"/>
        <name val="Tahoma"/>
        <scheme val="none"/>
      </font>
      <numFmt numFmtId="164" formatCode="#,##0.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164" formatCode="#,##0.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164" formatCode="#,##0.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dxf>
    <dxf>
      <font>
        <b val="0"/>
        <i val="0"/>
        <strike val="0"/>
        <condense val="0"/>
        <extend val="0"/>
        <outline val="0"/>
        <shadow val="0"/>
        <u val="none"/>
        <vertAlign val="baseline"/>
        <sz val="8"/>
        <color auto="1"/>
        <name val="Tahoma"/>
        <scheme val="none"/>
      </font>
      <numFmt numFmtId="164" formatCode="#,##0.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164" formatCode="#,##0.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164" formatCode="#,##0.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dxf>
    <dxf>
      <font>
        <b val="0"/>
        <i val="0"/>
        <strike val="0"/>
        <condense val="0"/>
        <extend val="0"/>
        <outline val="0"/>
        <shadow val="0"/>
        <u val="none"/>
        <vertAlign val="baseline"/>
        <sz val="8"/>
        <color auto="1"/>
        <name val="Tahoma"/>
        <scheme val="none"/>
      </font>
      <numFmt numFmtId="164" formatCode="#,##0.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164" formatCode="#,##0.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164" formatCode="#,##0.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3" formatCode="#,##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dxf>
    <dxf>
      <font>
        <b val="0"/>
        <i val="0"/>
        <strike val="0"/>
        <condense val="0"/>
        <extend val="0"/>
        <outline val="0"/>
        <shadow val="0"/>
        <u val="none"/>
        <vertAlign val="baseline"/>
        <sz val="8"/>
        <color auto="1"/>
        <name val="Tahoma"/>
        <scheme val="none"/>
      </font>
      <numFmt numFmtId="164" formatCode="#,##0.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164" formatCode="#,##0.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numFmt numFmtId="164" formatCode="#,##0.0"/>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Tahoma"/>
        <scheme val="none"/>
      </font>
      <alignment horizontal="general" vertical="center" textRotation="0" wrapText="1" indent="0" justifyLastLine="0" shrinkToFit="0" readingOrder="0"/>
    </dxf>
  </dxfs>
  <tableStyles count="0" defaultTableStyle="TableStyleMedium2" defaultPivotStyle="PivotStyleLight16"/>
  <colors>
    <mruColors>
      <color rgb="FF07B5EB"/>
      <color rgb="FF009BD2"/>
      <color rgb="FF00359E"/>
      <color rgb="FF002774"/>
      <color rgb="FF9AE6EA"/>
      <color rgb="FF002E8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pivotCacheDefinition" Target="pivotCache/pivotCacheDefinition16.xml"/><Relationship Id="rId34" Type="http://schemas.openxmlformats.org/officeDocument/2006/relationships/customXml" Target="../customXml/item2.xml"/><Relationship Id="rId7" Type="http://schemas.openxmlformats.org/officeDocument/2006/relationships/pivotCacheDefinition" Target="pivotCache/pivotCacheDefinition2.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pivotCacheDefinition" Target="pivotCache/pivotCacheDefinition20.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0" Type="http://schemas.openxmlformats.org/officeDocument/2006/relationships/pivotCacheDefinition" Target="pivotCache/pivotCacheDefinition15.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openxmlformats.org/officeDocument/2006/relationships/pivotCacheDefinition" Target="pivotCache/pivotCacheDefinition19.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pivotCacheDefinition" Target="pivotCache/pivotCacheDefinition10.xml"/><Relationship Id="rId23" Type="http://schemas.openxmlformats.org/officeDocument/2006/relationships/pivotCacheDefinition" Target="pivotCache/pivotCacheDefinition18.xml"/><Relationship Id="rId28" Type="http://schemas.openxmlformats.org/officeDocument/2006/relationships/theme" Target="theme/theme1.xml"/><Relationship Id="rId36" Type="http://schemas.microsoft.com/office/2006/relationships/vbaProject" Target="vbaProject.bin"/><Relationship Id="rId10" Type="http://schemas.openxmlformats.org/officeDocument/2006/relationships/pivotCacheDefinition" Target="pivotCache/pivotCacheDefinition5.xml"/><Relationship Id="rId19" Type="http://schemas.openxmlformats.org/officeDocument/2006/relationships/pivotCacheDefinition" Target="pivotCache/pivotCacheDefinition14.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openxmlformats.org/officeDocument/2006/relationships/pivotCacheDefinition" Target="pivotCache/pivotCacheDefinition17.xml"/><Relationship Id="rId27" Type="http://schemas.microsoft.com/office/2007/relationships/slicerCache" Target="slicerCaches/slicerCache2.xml"/><Relationship Id="rId30" Type="http://schemas.openxmlformats.org/officeDocument/2006/relationships/sharedStrings" Target="sharedStrings.xml"/><Relationship Id="rId35" Type="http://schemas.openxmlformats.org/officeDocument/2006/relationships/customXml" Target="../customXml/item3.xml"/><Relationship Id="rId8" Type="http://schemas.openxmlformats.org/officeDocument/2006/relationships/pivotCacheDefinition" Target="pivotCache/pivotCacheDefinition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[Media Ratings Dashboard.xlsm]Midday Programs!Midd_RTGPVT1</c:name>
    <c:fmtId val="11"/>
  </c:pivotSource>
  <c:chart>
    <c:title>
      <c:tx>
        <c:rich>
          <a:bodyPr rot="0" spcFirstLastPara="1" vertOverflow="ellipsis" vert="horz" wrap="square" anchor="ctr" anchorCtr="1"/>
          <a:lstStyle/>
          <a:p>
            <a:pPr>
              <a:defRPr sz="1800" b="1" i="0" u="none" strike="noStrike" kern="1200" baseline="0">
                <a:solidFill>
                  <a:srgbClr val="000000"/>
                </a:solidFill>
                <a:latin typeface="+mn-lt"/>
                <a:ea typeface="+mn-ea"/>
                <a:cs typeface="+mn-cs"/>
              </a:defRPr>
            </a:pPr>
            <a:r>
              <a:rPr lang="en-US"/>
              <a:t>Current Ratings %</a:t>
            </a:r>
          </a:p>
        </c:rich>
      </c:tx>
      <c:overlay val="0"/>
      <c:spPr>
        <a:noFill/>
        <a:ln>
          <a:noFill/>
        </a:ln>
        <a:effectLst/>
      </c:spPr>
      <c:txPr>
        <a:bodyPr rot="0" spcFirstLastPara="1" vertOverflow="ellipsis" vert="horz" wrap="square" anchor="ctr" anchorCtr="1"/>
        <a:lstStyle/>
        <a:p>
          <a:pPr>
            <a:defRPr sz="1800" b="1" i="0" u="none" strike="noStrike" kern="1200" baseline="0">
              <a:solidFill>
                <a:srgbClr val="000000"/>
              </a:solidFill>
              <a:latin typeface="+mn-lt"/>
              <a:ea typeface="+mn-ea"/>
              <a:cs typeface="+mn-cs"/>
            </a:defRPr>
          </a:pPr>
          <a:endParaRPr lang="en-US"/>
        </a:p>
      </c:txPr>
    </c:title>
    <c:autoTitleDeleted val="0"/>
    <c:pivotFmts>
      <c:pivotFmt>
        <c:idx val="0"/>
        <c:spPr>
          <a:solidFill>
            <a:srgbClr val="009BD2"/>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'Midday Programs'!$B$31</c:f>
              <c:strCache>
                <c:ptCount val="1"/>
                <c:pt idx="0">
                  <c:v>Total</c:v>
                </c:pt>
              </c:strCache>
            </c:strRef>
          </c:tx>
          <c:spPr>
            <a:solidFill>
              <a:srgbClr val="009BD2"/>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'Midday Programs'!$A$32:$A$50</c:f>
              <c:multiLvlStrCache>
                <c:ptCount val="15"/>
                <c:lvl>
                  <c:pt idx="0">
                    <c:v>ST4 - Program 1</c:v>
                  </c:pt>
                  <c:pt idx="1">
                    <c:v>ST3 - Program 1</c:v>
                  </c:pt>
                  <c:pt idx="2">
                    <c:v>ST2 - Program 1</c:v>
                  </c:pt>
                  <c:pt idx="3">
                    <c:v>ST1 -Program 1</c:v>
                  </c:pt>
                  <c:pt idx="4">
                    <c:v>ST1 -Program 2</c:v>
                  </c:pt>
                  <c:pt idx="5">
                    <c:v>ST3 - Program 1</c:v>
                  </c:pt>
                  <c:pt idx="6">
                    <c:v>ST2 - Program 1</c:v>
                  </c:pt>
                  <c:pt idx="7">
                    <c:v>ST1 -Program 2</c:v>
                  </c:pt>
                  <c:pt idx="8">
                    <c:v>ST4 - Program 1</c:v>
                  </c:pt>
                  <c:pt idx="9">
                    <c:v>ST1 -Program 1</c:v>
                  </c:pt>
                  <c:pt idx="10">
                    <c:v>ST3 - Program 1</c:v>
                  </c:pt>
                  <c:pt idx="11">
                    <c:v>ST4 - Program 1</c:v>
                  </c:pt>
                  <c:pt idx="12">
                    <c:v>ST1 -Program 2</c:v>
                  </c:pt>
                  <c:pt idx="13">
                    <c:v>ST1 -Program 1</c:v>
                  </c:pt>
                  <c:pt idx="14">
                    <c:v>ST2 - Program 1</c:v>
                  </c:pt>
                </c:lvl>
                <c:lvl>
                  <c:pt idx="0">
                    <c:v>F25-54</c:v>
                  </c:pt>
                  <c:pt idx="5">
                    <c:v>P18-49</c:v>
                  </c:pt>
                  <c:pt idx="10">
                    <c:v>P25-54</c:v>
                  </c:pt>
                </c:lvl>
              </c:multiLvlStrCache>
            </c:multiLvlStrRef>
          </c:cat>
          <c:val>
            <c:numRef>
              <c:f>'Midday Programs'!$B$32:$B$50</c:f>
              <c:numCache>
                <c:formatCode>0.00</c:formatCode>
                <c:ptCount val="15"/>
                <c:pt idx="0">
                  <c:v>0.23202244</c:v>
                </c:pt>
                <c:pt idx="1">
                  <c:v>0.26592789999999999</c:v>
                </c:pt>
                <c:pt idx="2">
                  <c:v>0.39339384999999999</c:v>
                </c:pt>
                <c:pt idx="3">
                  <c:v>0.71205130000000005</c:v>
                </c:pt>
                <c:pt idx="4">
                  <c:v>0.7820513</c:v>
                </c:pt>
                <c:pt idx="5">
                  <c:v>0.14217258999999999</c:v>
                </c:pt>
                <c:pt idx="6">
                  <c:v>0.30405300000000002</c:v>
                </c:pt>
                <c:pt idx="7">
                  <c:v>0.30493081</c:v>
                </c:pt>
                <c:pt idx="8">
                  <c:v>0.48839795000000003</c:v>
                </c:pt>
                <c:pt idx="9">
                  <c:v>0.50493080999999995</c:v>
                </c:pt>
                <c:pt idx="10">
                  <c:v>0.23006673</c:v>
                </c:pt>
                <c:pt idx="11">
                  <c:v>0.52787552000000004</c:v>
                </c:pt>
                <c:pt idx="12">
                  <c:v>0.61800136999999999</c:v>
                </c:pt>
                <c:pt idx="13">
                  <c:v>0.61800136999999999</c:v>
                </c:pt>
                <c:pt idx="14">
                  <c:v>0.94235838999999999</c:v>
                </c:pt>
              </c:numCache>
            </c:numRef>
          </c:val>
          <c:extLst>
            <c:ext xmlns:c16="http://schemas.microsoft.com/office/drawing/2014/chart" uri="{C3380CC4-5D6E-409C-BE32-E72D297353CC}">
              <c16:uniqueId val="{00000001-3EEC-4C95-93B6-2069C16730CC}"/>
            </c:ext>
          </c:extLst>
        </c:ser>
        <c:dLbls>
          <c:dLblPos val="outEnd"/>
          <c:showLegendKey val="0"/>
          <c:showVal val="1"/>
          <c:showCatName val="0"/>
          <c:showSerName val="0"/>
          <c:showPercent val="0"/>
          <c:showBubbleSize val="0"/>
        </c:dLbls>
        <c:gapWidth val="65"/>
        <c:axId val="2046584144"/>
        <c:axId val="2046584624"/>
      </c:barChart>
      <c:catAx>
        <c:axId val="2046584144"/>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rgbClr val="000000"/>
                </a:solidFill>
                <a:latin typeface="+mn-lt"/>
                <a:ea typeface="+mn-ea"/>
                <a:cs typeface="+mn-cs"/>
              </a:defRPr>
            </a:pPr>
            <a:endParaRPr lang="en-US"/>
          </a:p>
        </c:txPr>
        <c:crossAx val="2046584624"/>
        <c:crosses val="autoZero"/>
        <c:auto val="1"/>
        <c:lblAlgn val="ctr"/>
        <c:lblOffset val="100"/>
        <c:noMultiLvlLbl val="0"/>
      </c:catAx>
      <c:valAx>
        <c:axId val="2046584624"/>
        <c:scaling>
          <c:orientation val="minMax"/>
        </c:scaling>
        <c:delete val="1"/>
        <c:axPos val="b"/>
        <c:numFmt formatCode="0.00" sourceLinked="1"/>
        <c:majorTickMark val="none"/>
        <c:minorTickMark val="none"/>
        <c:tickLblPos val="nextTo"/>
        <c:crossAx val="20465841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rgbClr val="D9D9D9"/>
        </a:gs>
        <a:gs pos="100000">
          <a:srgbClr val="FFFFFF"/>
        </a:gs>
      </a:gsLst>
      <a:lin ang="5400000" scaled="1"/>
      <a:tileRect/>
    </a:gradFill>
    <a:ln w="9525" cap="flat" cmpd="sng" algn="ctr">
      <a:solidFill>
        <a:schemeClr val="dk1">
          <a:lumMod val="25000"/>
          <a:lumOff val="75000"/>
        </a:schemeClr>
      </a:solidFill>
      <a:round/>
    </a:ln>
    <a:effectLst/>
  </c:spPr>
  <c:txPr>
    <a:bodyPr/>
    <a:lstStyle/>
    <a:p>
      <a:pPr>
        <a:defRPr>
          <a:solidFill>
            <a:srgbClr val="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1"/>
    </mc:Choice>
    <mc:Fallback>
      <c:style val="11"/>
    </mc:Fallback>
  </mc:AlternateContent>
  <c:pivotSource>
    <c:name>[Media Ratings Dashboard.xlsm]Midday Programs!Midd_RTGPVT2</c:name>
    <c:fmtId val="11"/>
  </c:pivotSource>
  <c:chart>
    <c:title>
      <c:tx>
        <c:rich>
          <a:bodyPr/>
          <a:lstStyle/>
          <a:p>
            <a:pPr>
              <a:defRPr/>
            </a:pPr>
            <a:r>
              <a:rPr lang="en-US"/>
              <a:t>Last Year | Last Month | Current Comparison</a:t>
            </a:r>
          </a:p>
        </c:rich>
      </c:tx>
      <c:overlay val="0"/>
    </c:title>
    <c:autoTitleDeleted val="0"/>
    <c:pivotFmts>
      <c:pivotFmt>
        <c:idx val="0"/>
        <c:spPr>
          <a:solidFill>
            <a:srgbClr val="1F4E78"/>
          </a:solidFill>
        </c:spPr>
        <c:marker>
          <c:symbol val="none"/>
        </c:marker>
        <c:dLbl>
          <c:idx val="0"/>
          <c:delete val="1"/>
          <c:extLst>
            <c:ext xmlns:c15="http://schemas.microsoft.com/office/drawing/2012/chart" uri="{CE6537A1-D6FC-4f65-9D91-7224C49458BB}"/>
          </c:extLst>
        </c:dLbl>
      </c:pivotFmt>
      <c:pivotFmt>
        <c:idx val="1"/>
        <c:spPr>
          <a:solidFill>
            <a:srgbClr val="FFC000"/>
          </a:solidFill>
        </c:spPr>
        <c:marker>
          <c:symbol val="none"/>
        </c:marker>
        <c:dLbl>
          <c:idx val="0"/>
          <c:delete val="1"/>
          <c:extLst>
            <c:ext xmlns:c15="http://schemas.microsoft.com/office/drawing/2012/chart" uri="{CE6537A1-D6FC-4f65-9D91-7224C49458BB}"/>
          </c:extLst>
        </c:dLbl>
      </c:pivotFmt>
      <c:pivotFmt>
        <c:idx val="2"/>
        <c:spPr>
          <a:solidFill>
            <a:srgbClr val="009BD2"/>
          </a:solidFill>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'Midday Programs'!$E$31</c:f>
              <c:strCache>
                <c:ptCount val="1"/>
                <c:pt idx="0">
                  <c:v>Last Year</c:v>
                </c:pt>
              </c:strCache>
            </c:strRef>
          </c:tx>
          <c:spPr>
            <a:solidFill>
              <a:srgbClr val="1F4E78"/>
            </a:solidFill>
          </c:spPr>
          <c:invertIfNegative val="0"/>
          <c:cat>
            <c:multiLvlStrRef>
              <c:f>'Midday Programs'!$D$32:$D$50</c:f>
              <c:multiLvlStrCache>
                <c:ptCount val="15"/>
                <c:lvl>
                  <c:pt idx="0">
                    <c:v>ST1 -Program 1</c:v>
                  </c:pt>
                  <c:pt idx="1">
                    <c:v>ST1 -Program 2</c:v>
                  </c:pt>
                  <c:pt idx="2">
                    <c:v>ST2 - Program 1</c:v>
                  </c:pt>
                  <c:pt idx="3">
                    <c:v>ST3 - Program 1</c:v>
                  </c:pt>
                  <c:pt idx="4">
                    <c:v>ST4 - Program 1</c:v>
                  </c:pt>
                  <c:pt idx="5">
                    <c:v>ST1 -Program 1</c:v>
                  </c:pt>
                  <c:pt idx="6">
                    <c:v>ST1 -Program 2</c:v>
                  </c:pt>
                  <c:pt idx="7">
                    <c:v>ST2 - Program 1</c:v>
                  </c:pt>
                  <c:pt idx="8">
                    <c:v>ST3 - Program 1</c:v>
                  </c:pt>
                  <c:pt idx="9">
                    <c:v>ST4 - Program 1</c:v>
                  </c:pt>
                  <c:pt idx="10">
                    <c:v>ST1 -Program 1</c:v>
                  </c:pt>
                  <c:pt idx="11">
                    <c:v>ST1 -Program 2</c:v>
                  </c:pt>
                  <c:pt idx="12">
                    <c:v>ST2 - Program 1</c:v>
                  </c:pt>
                  <c:pt idx="13">
                    <c:v>ST3 - Program 1</c:v>
                  </c:pt>
                  <c:pt idx="14">
                    <c:v>ST4 - Program 1</c:v>
                  </c:pt>
                </c:lvl>
                <c:lvl>
                  <c:pt idx="0">
                    <c:v>F25-54</c:v>
                  </c:pt>
                  <c:pt idx="5">
                    <c:v>P18-49</c:v>
                  </c:pt>
                  <c:pt idx="10">
                    <c:v>P25-54</c:v>
                  </c:pt>
                </c:lvl>
              </c:multiLvlStrCache>
            </c:multiLvlStrRef>
          </c:cat>
          <c:val>
            <c:numRef>
              <c:f>'Midday Programs'!$E$32:$E$50</c:f>
              <c:numCache>
                <c:formatCode>0.00</c:formatCode>
                <c:ptCount val="15"/>
                <c:pt idx="0">
                  <c:v>0.96587818000000003</c:v>
                </c:pt>
                <c:pt idx="1">
                  <c:v>0.71727074999999996</c:v>
                </c:pt>
                <c:pt idx="2">
                  <c:v>0.41686136000000001</c:v>
                </c:pt>
                <c:pt idx="3">
                  <c:v>0.17086865000000001</c:v>
                </c:pt>
                <c:pt idx="4">
                  <c:v>0.36015483999999998</c:v>
                </c:pt>
                <c:pt idx="5">
                  <c:v>0.57081146000000005</c:v>
                </c:pt>
                <c:pt idx="6">
                  <c:v>9.5535610000000007E-2</c:v>
                </c:pt>
                <c:pt idx="7">
                  <c:v>0.40148105000000001</c:v>
                </c:pt>
                <c:pt idx="8">
                  <c:v>0.32913764000000001</c:v>
                </c:pt>
                <c:pt idx="9">
                  <c:v>0.25511550999999999</c:v>
                </c:pt>
                <c:pt idx="10">
                  <c:v>0.75744663999999995</c:v>
                </c:pt>
                <c:pt idx="11">
                  <c:v>0.47674144000000002</c:v>
                </c:pt>
                <c:pt idx="12">
                  <c:v>0.33948771</c:v>
                </c:pt>
                <c:pt idx="13">
                  <c:v>0.56701124000000003</c:v>
                </c:pt>
                <c:pt idx="14">
                  <c:v>0.4898518</c:v>
                </c:pt>
              </c:numCache>
            </c:numRef>
          </c:val>
          <c:extLst>
            <c:ext xmlns:c16="http://schemas.microsoft.com/office/drawing/2014/chart" uri="{C3380CC4-5D6E-409C-BE32-E72D297353CC}">
              <c16:uniqueId val="{00000001-6C3C-40A4-93FF-FE13DABF0E70}"/>
            </c:ext>
          </c:extLst>
        </c:ser>
        <c:ser>
          <c:idx val="1"/>
          <c:order val="1"/>
          <c:tx>
            <c:strRef>
              <c:f>'Midday Programs'!$F$31</c:f>
              <c:strCache>
                <c:ptCount val="1"/>
                <c:pt idx="0">
                  <c:v>Last Month</c:v>
                </c:pt>
              </c:strCache>
            </c:strRef>
          </c:tx>
          <c:spPr>
            <a:solidFill>
              <a:srgbClr val="FFC000"/>
            </a:solidFill>
          </c:spPr>
          <c:invertIfNegative val="0"/>
          <c:cat>
            <c:multiLvlStrRef>
              <c:f>'Midday Programs'!$D$32:$D$50</c:f>
              <c:multiLvlStrCache>
                <c:ptCount val="15"/>
                <c:lvl>
                  <c:pt idx="0">
                    <c:v>ST1 -Program 1</c:v>
                  </c:pt>
                  <c:pt idx="1">
                    <c:v>ST1 -Program 2</c:v>
                  </c:pt>
                  <c:pt idx="2">
                    <c:v>ST2 - Program 1</c:v>
                  </c:pt>
                  <c:pt idx="3">
                    <c:v>ST3 - Program 1</c:v>
                  </c:pt>
                  <c:pt idx="4">
                    <c:v>ST4 - Program 1</c:v>
                  </c:pt>
                  <c:pt idx="5">
                    <c:v>ST1 -Program 1</c:v>
                  </c:pt>
                  <c:pt idx="6">
                    <c:v>ST1 -Program 2</c:v>
                  </c:pt>
                  <c:pt idx="7">
                    <c:v>ST2 - Program 1</c:v>
                  </c:pt>
                  <c:pt idx="8">
                    <c:v>ST3 - Program 1</c:v>
                  </c:pt>
                  <c:pt idx="9">
                    <c:v>ST4 - Program 1</c:v>
                  </c:pt>
                  <c:pt idx="10">
                    <c:v>ST1 -Program 1</c:v>
                  </c:pt>
                  <c:pt idx="11">
                    <c:v>ST1 -Program 2</c:v>
                  </c:pt>
                  <c:pt idx="12">
                    <c:v>ST2 - Program 1</c:v>
                  </c:pt>
                  <c:pt idx="13">
                    <c:v>ST3 - Program 1</c:v>
                  </c:pt>
                  <c:pt idx="14">
                    <c:v>ST4 - Program 1</c:v>
                  </c:pt>
                </c:lvl>
                <c:lvl>
                  <c:pt idx="0">
                    <c:v>F25-54</c:v>
                  </c:pt>
                  <c:pt idx="5">
                    <c:v>P18-49</c:v>
                  </c:pt>
                  <c:pt idx="10">
                    <c:v>P25-54</c:v>
                  </c:pt>
                </c:lvl>
              </c:multiLvlStrCache>
            </c:multiLvlStrRef>
          </c:cat>
          <c:val>
            <c:numRef>
              <c:f>'Midday Programs'!$F$32:$F$50</c:f>
              <c:numCache>
                <c:formatCode>0.00</c:formatCode>
                <c:ptCount val="15"/>
                <c:pt idx="0">
                  <c:v>0.84621851000000003</c:v>
                </c:pt>
                <c:pt idx="1">
                  <c:v>0.34621850999999998</c:v>
                </c:pt>
                <c:pt idx="2">
                  <c:v>0.25410451000000001</c:v>
                </c:pt>
                <c:pt idx="3">
                  <c:v>0.15822606</c:v>
                </c:pt>
                <c:pt idx="4">
                  <c:v>0.28445063999999998</c:v>
                </c:pt>
                <c:pt idx="5">
                  <c:v>0.74136380000000002</c:v>
                </c:pt>
                <c:pt idx="6">
                  <c:v>0.64136380000000004</c:v>
                </c:pt>
                <c:pt idx="7">
                  <c:v>0.22139713999999999</c:v>
                </c:pt>
                <c:pt idx="8">
                  <c:v>0.10202774000000001</c:v>
                </c:pt>
                <c:pt idx="9">
                  <c:v>0.39647964000000002</c:v>
                </c:pt>
                <c:pt idx="10">
                  <c:v>0.70454112000000002</c:v>
                </c:pt>
                <c:pt idx="11">
                  <c:v>0</c:v>
                </c:pt>
                <c:pt idx="12">
                  <c:v>0.30129939</c:v>
                </c:pt>
                <c:pt idx="13">
                  <c:v>0.15140795000000001</c:v>
                </c:pt>
                <c:pt idx="14">
                  <c:v>0.43759582000000002</c:v>
                </c:pt>
              </c:numCache>
            </c:numRef>
          </c:val>
          <c:extLst>
            <c:ext xmlns:c16="http://schemas.microsoft.com/office/drawing/2014/chart" uri="{C3380CC4-5D6E-409C-BE32-E72D297353CC}">
              <c16:uniqueId val="{00000002-6C3C-40A4-93FF-FE13DABF0E70}"/>
            </c:ext>
          </c:extLst>
        </c:ser>
        <c:ser>
          <c:idx val="2"/>
          <c:order val="2"/>
          <c:tx>
            <c:strRef>
              <c:f>'Midday Programs'!$G$31</c:f>
              <c:strCache>
                <c:ptCount val="1"/>
                <c:pt idx="0">
                  <c:v>Current</c:v>
                </c:pt>
              </c:strCache>
            </c:strRef>
          </c:tx>
          <c:spPr>
            <a:solidFill>
              <a:srgbClr val="009BD2"/>
            </a:solidFill>
          </c:spPr>
          <c:invertIfNegative val="0"/>
          <c:cat>
            <c:multiLvlStrRef>
              <c:f>'Midday Programs'!$D$32:$D$50</c:f>
              <c:multiLvlStrCache>
                <c:ptCount val="15"/>
                <c:lvl>
                  <c:pt idx="0">
                    <c:v>ST1 -Program 1</c:v>
                  </c:pt>
                  <c:pt idx="1">
                    <c:v>ST1 -Program 2</c:v>
                  </c:pt>
                  <c:pt idx="2">
                    <c:v>ST2 - Program 1</c:v>
                  </c:pt>
                  <c:pt idx="3">
                    <c:v>ST3 - Program 1</c:v>
                  </c:pt>
                  <c:pt idx="4">
                    <c:v>ST4 - Program 1</c:v>
                  </c:pt>
                  <c:pt idx="5">
                    <c:v>ST1 -Program 1</c:v>
                  </c:pt>
                  <c:pt idx="6">
                    <c:v>ST1 -Program 2</c:v>
                  </c:pt>
                  <c:pt idx="7">
                    <c:v>ST2 - Program 1</c:v>
                  </c:pt>
                  <c:pt idx="8">
                    <c:v>ST3 - Program 1</c:v>
                  </c:pt>
                  <c:pt idx="9">
                    <c:v>ST4 - Program 1</c:v>
                  </c:pt>
                  <c:pt idx="10">
                    <c:v>ST1 -Program 1</c:v>
                  </c:pt>
                  <c:pt idx="11">
                    <c:v>ST1 -Program 2</c:v>
                  </c:pt>
                  <c:pt idx="12">
                    <c:v>ST2 - Program 1</c:v>
                  </c:pt>
                  <c:pt idx="13">
                    <c:v>ST3 - Program 1</c:v>
                  </c:pt>
                  <c:pt idx="14">
                    <c:v>ST4 - Program 1</c:v>
                  </c:pt>
                </c:lvl>
                <c:lvl>
                  <c:pt idx="0">
                    <c:v>F25-54</c:v>
                  </c:pt>
                  <c:pt idx="5">
                    <c:v>P18-49</c:v>
                  </c:pt>
                  <c:pt idx="10">
                    <c:v>P25-54</c:v>
                  </c:pt>
                </c:lvl>
              </c:multiLvlStrCache>
            </c:multiLvlStrRef>
          </c:cat>
          <c:val>
            <c:numRef>
              <c:f>'Midday Programs'!$G$32:$G$50</c:f>
              <c:numCache>
                <c:formatCode>0.00</c:formatCode>
                <c:ptCount val="15"/>
                <c:pt idx="0">
                  <c:v>0.71205130000000005</c:v>
                </c:pt>
                <c:pt idx="1">
                  <c:v>0.7820513</c:v>
                </c:pt>
                <c:pt idx="2">
                  <c:v>0.39339384999999999</c:v>
                </c:pt>
                <c:pt idx="3">
                  <c:v>0.26592789999999999</c:v>
                </c:pt>
                <c:pt idx="4">
                  <c:v>0.23202244</c:v>
                </c:pt>
                <c:pt idx="5">
                  <c:v>0.50493080999999995</c:v>
                </c:pt>
                <c:pt idx="6">
                  <c:v>0.30493081</c:v>
                </c:pt>
                <c:pt idx="7">
                  <c:v>0.30405300000000002</c:v>
                </c:pt>
                <c:pt idx="8">
                  <c:v>0.14217258999999999</c:v>
                </c:pt>
                <c:pt idx="9">
                  <c:v>0.48839795000000003</c:v>
                </c:pt>
                <c:pt idx="10">
                  <c:v>0.61800136999999999</c:v>
                </c:pt>
                <c:pt idx="11">
                  <c:v>0.61800136999999999</c:v>
                </c:pt>
                <c:pt idx="12">
                  <c:v>0.94235838999999999</c:v>
                </c:pt>
                <c:pt idx="13">
                  <c:v>0.23006673</c:v>
                </c:pt>
                <c:pt idx="14">
                  <c:v>0.52787552000000004</c:v>
                </c:pt>
              </c:numCache>
            </c:numRef>
          </c:val>
          <c:extLst>
            <c:ext xmlns:c16="http://schemas.microsoft.com/office/drawing/2014/chart" uri="{C3380CC4-5D6E-409C-BE32-E72D297353CC}">
              <c16:uniqueId val="{00000003-6C3C-40A4-93FF-FE13DABF0E70}"/>
            </c:ext>
          </c:extLst>
        </c:ser>
        <c:dLbls>
          <c:showLegendKey val="0"/>
          <c:showVal val="0"/>
          <c:showCatName val="0"/>
          <c:showSerName val="0"/>
          <c:showPercent val="0"/>
          <c:showBubbleSize val="0"/>
        </c:dLbls>
        <c:gapWidth val="150"/>
        <c:axId val="2046559664"/>
        <c:axId val="2046576464"/>
      </c:barChart>
      <c:catAx>
        <c:axId val="2046559664"/>
        <c:scaling>
          <c:orientation val="minMax"/>
        </c:scaling>
        <c:delete val="0"/>
        <c:axPos val="b"/>
        <c:numFmt formatCode="General" sourceLinked="1"/>
        <c:majorTickMark val="out"/>
        <c:minorTickMark val="none"/>
        <c:tickLblPos val="nextTo"/>
        <c:crossAx val="2046576464"/>
        <c:crosses val="autoZero"/>
        <c:auto val="1"/>
        <c:lblAlgn val="ctr"/>
        <c:lblOffset val="100"/>
        <c:noMultiLvlLbl val="0"/>
      </c:catAx>
      <c:valAx>
        <c:axId val="2046576464"/>
        <c:scaling>
          <c:orientation val="minMax"/>
        </c:scaling>
        <c:delete val="0"/>
        <c:axPos val="l"/>
        <c:numFmt formatCode="0.00" sourceLinked="1"/>
        <c:majorTickMark val="out"/>
        <c:minorTickMark val="none"/>
        <c:tickLblPos val="nextTo"/>
        <c:crossAx val="2046559664"/>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legend>
      <c:legendPos val="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rgbClr val="D9D9D9"/>
        </a:gs>
        <a:gs pos="100000">
          <a:srgbClr val="FFFFFF"/>
        </a:gs>
      </a:gsLst>
      <a:lin ang="5400000" scaled="1"/>
      <a:tileRect/>
    </a:gradFill>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0</xdr:col>
      <xdr:colOff>299085</xdr:colOff>
      <xdr:row>5</xdr:row>
      <xdr:rowOff>62866</xdr:rowOff>
    </xdr:from>
    <xdr:to>
      <xdr:col>3</xdr:col>
      <xdr:colOff>365760</xdr:colOff>
      <xdr:row>6</xdr:row>
      <xdr:rowOff>190501</xdr:rowOff>
    </xdr:to>
    <xdr:sp macro="[0]!Ratings_Charts" textlink="">
      <xdr:nvSpPr>
        <xdr:cNvPr id="5" name="Rectangle: Rounded Corners 4">
          <a:extLst>
            <a:ext uri="{FF2B5EF4-FFF2-40B4-BE49-F238E27FC236}">
              <a16:creationId xmlns:a16="http://schemas.microsoft.com/office/drawing/2014/main" id="{00000000-0008-0000-0000-000005000000}"/>
            </a:ext>
          </a:extLst>
        </xdr:cNvPr>
        <xdr:cNvSpPr/>
      </xdr:nvSpPr>
      <xdr:spPr>
        <a:xfrm>
          <a:off x="299085" y="1120141"/>
          <a:ext cx="1895475" cy="356235"/>
        </a:xfrm>
        <a:prstGeom prst="roundRect">
          <a:avLst/>
        </a:prstGeom>
        <a:solidFill>
          <a:schemeClr val="bg1">
            <a:lumMod val="50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0">
              <a:latin typeface="Arial" panose="020B0604020202020204" pitchFamily="34" charset="0"/>
              <a:cs typeface="Arial" panose="020B0604020202020204" pitchFamily="34" charset="0"/>
            </a:rPr>
            <a:t>RATINGS</a:t>
          </a:r>
        </a:p>
      </xdr:txBody>
    </xdr:sp>
    <xdr:clientData/>
  </xdr:twoCellAnchor>
  <xdr:twoCellAnchor editAs="absolute">
    <xdr:from>
      <xdr:col>0</xdr:col>
      <xdr:colOff>0</xdr:colOff>
      <xdr:row>0</xdr:row>
      <xdr:rowOff>15240</xdr:rowOff>
    </xdr:from>
    <xdr:to>
      <xdr:col>30</xdr:col>
      <xdr:colOff>495299</xdr:colOff>
      <xdr:row>4</xdr:row>
      <xdr:rowOff>34290</xdr:rowOff>
    </xdr:to>
    <xdr:sp macro="" textlink="">
      <xdr:nvSpPr>
        <xdr:cNvPr id="10" name="Rectangle 9">
          <a:extLst>
            <a:ext uri="{FF2B5EF4-FFF2-40B4-BE49-F238E27FC236}">
              <a16:creationId xmlns:a16="http://schemas.microsoft.com/office/drawing/2014/main" id="{00000000-0008-0000-0000-00000A000000}"/>
            </a:ext>
          </a:extLst>
        </xdr:cNvPr>
        <xdr:cNvSpPr/>
      </xdr:nvSpPr>
      <xdr:spPr>
        <a:xfrm>
          <a:off x="0" y="15240"/>
          <a:ext cx="22374224" cy="895350"/>
        </a:xfrm>
        <a:prstGeom prst="rect">
          <a:avLst/>
        </a:prstGeom>
        <a:gradFill flip="none" rotWithShape="1">
          <a:gsLst>
            <a:gs pos="0">
              <a:schemeClr val="tx2">
                <a:lumMod val="75000"/>
              </a:schemeClr>
            </a:gs>
            <a:gs pos="100000">
              <a:schemeClr val="bg1">
                <a:lumMod val="65000"/>
              </a:schemeClr>
            </a:gs>
          </a:gsLst>
          <a:lin ang="54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solidFill>
                <a:schemeClr val="bg1"/>
              </a:solidFill>
            </a:rPr>
            <a:t>DASHBOARD</a:t>
          </a:r>
          <a:endParaRPr lang="en-US" sz="2400">
            <a:solidFill>
              <a:schemeClr val="bg1"/>
            </a:solidFill>
          </a:endParaRPr>
        </a:p>
      </xdr:txBody>
    </xdr:sp>
    <xdr:clientData/>
  </xdr:twoCellAnchor>
  <xdr:twoCellAnchor editAs="absolute">
    <xdr:from>
      <xdr:col>7</xdr:col>
      <xdr:colOff>238125</xdr:colOff>
      <xdr:row>5</xdr:row>
      <xdr:rowOff>62866</xdr:rowOff>
    </xdr:from>
    <xdr:to>
      <xdr:col>10</xdr:col>
      <xdr:colOff>304800</xdr:colOff>
      <xdr:row>6</xdr:row>
      <xdr:rowOff>190501</xdr:rowOff>
    </xdr:to>
    <xdr:sp macro="[0]!Share_Charts"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4505325" y="1120141"/>
          <a:ext cx="1895475" cy="356235"/>
        </a:xfrm>
        <a:prstGeom prst="roundRect">
          <a:avLst/>
        </a:prstGeom>
        <a:solidFill>
          <a:schemeClr val="bg1">
            <a:lumMod val="50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0">
              <a:latin typeface="Arial" panose="020B0604020202020204" pitchFamily="34" charset="0"/>
              <a:cs typeface="Arial" panose="020B0604020202020204" pitchFamily="34" charset="0"/>
            </a:rPr>
            <a:t>SHARE</a:t>
          </a:r>
          <a:r>
            <a:rPr lang="en-US" sz="1400" b="0" baseline="0">
              <a:latin typeface="Arial" panose="020B0604020202020204" pitchFamily="34" charset="0"/>
              <a:cs typeface="Arial" panose="020B0604020202020204" pitchFamily="34" charset="0"/>
            </a:rPr>
            <a:t> %</a:t>
          </a:r>
          <a:endParaRPr lang="en-US" sz="1400" b="0">
            <a:latin typeface="Arial" panose="020B0604020202020204" pitchFamily="34" charset="0"/>
            <a:cs typeface="Arial" panose="020B0604020202020204" pitchFamily="34" charset="0"/>
          </a:endParaRPr>
        </a:p>
      </xdr:txBody>
    </xdr:sp>
    <xdr:clientData/>
  </xdr:twoCellAnchor>
  <xdr:twoCellAnchor editAs="absolute">
    <xdr:from>
      <xdr:col>13</xdr:col>
      <xdr:colOff>786765</xdr:colOff>
      <xdr:row>5</xdr:row>
      <xdr:rowOff>62866</xdr:rowOff>
    </xdr:from>
    <xdr:to>
      <xdr:col>15</xdr:col>
      <xdr:colOff>148590</xdr:colOff>
      <xdr:row>6</xdr:row>
      <xdr:rowOff>190501</xdr:rowOff>
    </xdr:to>
    <xdr:sp macro="[0]!Impresions_Charts" textlink="">
      <xdr:nvSpPr>
        <xdr:cNvPr id="12" name="Rectangle: Rounded Corners 11">
          <a:extLst>
            <a:ext uri="{FF2B5EF4-FFF2-40B4-BE49-F238E27FC236}">
              <a16:creationId xmlns:a16="http://schemas.microsoft.com/office/drawing/2014/main" id="{00000000-0008-0000-0000-00000C000000}"/>
            </a:ext>
          </a:extLst>
        </xdr:cNvPr>
        <xdr:cNvSpPr/>
      </xdr:nvSpPr>
      <xdr:spPr>
        <a:xfrm>
          <a:off x="8711565" y="1120141"/>
          <a:ext cx="1895475" cy="356235"/>
        </a:xfrm>
        <a:prstGeom prst="roundRect">
          <a:avLst/>
        </a:prstGeom>
        <a:solidFill>
          <a:schemeClr val="bg1">
            <a:lumMod val="50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0">
              <a:latin typeface="Arial" panose="020B0604020202020204" pitchFamily="34" charset="0"/>
              <a:cs typeface="Arial" panose="020B0604020202020204" pitchFamily="34" charset="0"/>
            </a:rPr>
            <a:t>IMPRESSIONS</a:t>
          </a:r>
        </a:p>
      </xdr:txBody>
    </xdr:sp>
    <xdr:clientData/>
  </xdr:twoCellAnchor>
  <xdr:twoCellAnchor editAs="absolute">
    <xdr:from>
      <xdr:col>17</xdr:col>
      <xdr:colOff>11430</xdr:colOff>
      <xdr:row>5</xdr:row>
      <xdr:rowOff>62866</xdr:rowOff>
    </xdr:from>
    <xdr:to>
      <xdr:col>19</xdr:col>
      <xdr:colOff>407670</xdr:colOff>
      <xdr:row>6</xdr:row>
      <xdr:rowOff>190501</xdr:rowOff>
    </xdr:to>
    <xdr:sp macro="[0]!HUT_Imp_Charts" textlink="">
      <xdr:nvSpPr>
        <xdr:cNvPr id="13" name="Rectangle: Rounded Corners 12">
          <a:extLst>
            <a:ext uri="{FF2B5EF4-FFF2-40B4-BE49-F238E27FC236}">
              <a16:creationId xmlns:a16="http://schemas.microsoft.com/office/drawing/2014/main" id="{00000000-0008-0000-0000-00000D000000}"/>
            </a:ext>
          </a:extLst>
        </xdr:cNvPr>
        <xdr:cNvSpPr/>
      </xdr:nvSpPr>
      <xdr:spPr>
        <a:xfrm>
          <a:off x="12917805" y="1120141"/>
          <a:ext cx="1929765" cy="356235"/>
        </a:xfrm>
        <a:prstGeom prst="roundRect">
          <a:avLst/>
        </a:prstGeom>
        <a:solidFill>
          <a:schemeClr val="bg1">
            <a:lumMod val="50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0">
              <a:latin typeface="Arial" panose="020B0604020202020204" pitchFamily="34" charset="0"/>
              <a:cs typeface="Arial" panose="020B0604020202020204" pitchFamily="34" charset="0"/>
            </a:rPr>
            <a:t>HUT/PUT IMP.</a:t>
          </a:r>
        </a:p>
      </xdr:txBody>
    </xdr:sp>
    <xdr:clientData/>
  </xdr:twoCellAnchor>
  <xdr:twoCellAnchor editAs="absolute">
    <xdr:from>
      <xdr:col>22</xdr:col>
      <xdr:colOff>441960</xdr:colOff>
      <xdr:row>5</xdr:row>
      <xdr:rowOff>62866</xdr:rowOff>
    </xdr:from>
    <xdr:to>
      <xdr:col>25</xdr:col>
      <xdr:colOff>518160</xdr:colOff>
      <xdr:row>6</xdr:row>
      <xdr:rowOff>190501</xdr:rowOff>
    </xdr:to>
    <xdr:sp macro="[0]!HUT_PCT_Charts" textlink="">
      <xdr:nvSpPr>
        <xdr:cNvPr id="14" name="Rectangle: Rounded Corners 13">
          <a:extLst>
            <a:ext uri="{FF2B5EF4-FFF2-40B4-BE49-F238E27FC236}">
              <a16:creationId xmlns:a16="http://schemas.microsoft.com/office/drawing/2014/main" id="{00000000-0008-0000-0000-00000E000000}"/>
            </a:ext>
          </a:extLst>
        </xdr:cNvPr>
        <xdr:cNvSpPr/>
      </xdr:nvSpPr>
      <xdr:spPr>
        <a:xfrm>
          <a:off x="17158335" y="1120141"/>
          <a:ext cx="1905000" cy="356235"/>
        </a:xfrm>
        <a:prstGeom prst="roundRect">
          <a:avLst/>
        </a:prstGeom>
        <a:solidFill>
          <a:schemeClr val="bg1">
            <a:lumMod val="50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0">
              <a:latin typeface="Arial" panose="020B0604020202020204" pitchFamily="34" charset="0"/>
              <a:cs typeface="Arial" panose="020B0604020202020204" pitchFamily="34" charset="0"/>
            </a:rPr>
            <a:t>HUT/PUT %</a:t>
          </a:r>
        </a:p>
      </xdr:txBody>
    </xdr:sp>
    <xdr:clientData/>
  </xdr:twoCellAnchor>
  <xdr:twoCellAnchor editAs="oneCell">
    <xdr:from>
      <xdr:col>22</xdr:col>
      <xdr:colOff>116205</xdr:colOff>
      <xdr:row>31</xdr:row>
      <xdr:rowOff>20955</xdr:rowOff>
    </xdr:from>
    <xdr:to>
      <xdr:col>23</xdr:col>
      <xdr:colOff>396240</xdr:colOff>
      <xdr:row>32</xdr:row>
      <xdr:rowOff>22860</xdr:rowOff>
    </xdr:to>
    <xdr:sp macro="" textlink="">
      <xdr:nvSpPr>
        <xdr:cNvPr id="4" name="Ribbon: Tilted Up 3">
          <a:extLst>
            <a:ext uri="{FF2B5EF4-FFF2-40B4-BE49-F238E27FC236}">
              <a16:creationId xmlns:a16="http://schemas.microsoft.com/office/drawing/2014/main" id="{00000000-0008-0000-0000-000004000000}"/>
            </a:ext>
          </a:extLst>
        </xdr:cNvPr>
        <xdr:cNvSpPr/>
      </xdr:nvSpPr>
      <xdr:spPr>
        <a:xfrm>
          <a:off x="15337155" y="6297930"/>
          <a:ext cx="889635" cy="192405"/>
        </a:xfrm>
        <a:prstGeom prst="ribbon2">
          <a:avLst/>
        </a:prstGeom>
        <a:solidFill>
          <a:srgbClr val="07B5EB"/>
        </a:solidFill>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a:solidFill>
                <a:sysClr val="windowText" lastClr="000000"/>
              </a:solidFill>
            </a:rPr>
            <a:t>1</a:t>
          </a:r>
        </a:p>
      </xdr:txBody>
    </xdr:sp>
    <xdr:clientData/>
  </xdr:twoCellAnchor>
  <mc:AlternateContent xmlns:mc="http://schemas.openxmlformats.org/markup-compatibility/2006">
    <mc:Choice xmlns:a14="http://schemas.microsoft.com/office/drawing/2010/main" Requires="a14">
      <xdr:twoCellAnchor editAs="oneCell">
        <xdr:from>
          <xdr:col>0</xdr:col>
          <xdr:colOff>213360</xdr:colOff>
          <xdr:row>1</xdr:row>
          <xdr:rowOff>30480</xdr:rowOff>
        </xdr:from>
        <xdr:to>
          <xdr:col>4</xdr:col>
          <xdr:colOff>83820</xdr:colOff>
          <xdr:row>2</xdr:row>
          <xdr:rowOff>175260</xdr:rowOff>
        </xdr:to>
        <xdr:sp macro="" textlink="">
          <xdr:nvSpPr>
            <xdr:cNvPr id="1035" name="dayp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22</xdr:col>
      <xdr:colOff>116205</xdr:colOff>
      <xdr:row>37</xdr:row>
      <xdr:rowOff>20955</xdr:rowOff>
    </xdr:from>
    <xdr:to>
      <xdr:col>23</xdr:col>
      <xdr:colOff>396240</xdr:colOff>
      <xdr:row>38</xdr:row>
      <xdr:rowOff>22860</xdr:rowOff>
    </xdr:to>
    <xdr:sp macro="" textlink="">
      <xdr:nvSpPr>
        <xdr:cNvPr id="1076" name="Ribbon: Tilted Up 1075">
          <a:extLst>
            <a:ext uri="{FF2B5EF4-FFF2-40B4-BE49-F238E27FC236}">
              <a16:creationId xmlns:a16="http://schemas.microsoft.com/office/drawing/2014/main" id="{00000000-0008-0000-0000-000034040000}"/>
            </a:ext>
          </a:extLst>
        </xdr:cNvPr>
        <xdr:cNvSpPr/>
      </xdr:nvSpPr>
      <xdr:spPr>
        <a:xfrm>
          <a:off x="15337155" y="7469505"/>
          <a:ext cx="889635" cy="192405"/>
        </a:xfrm>
        <a:prstGeom prst="ribbon2">
          <a:avLst/>
        </a:prstGeom>
        <a:solidFill>
          <a:srgbClr val="07B5EB"/>
        </a:solidFill>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a:solidFill>
                <a:sysClr val="windowText" lastClr="000000"/>
              </a:solidFill>
            </a:rPr>
            <a:t>1</a:t>
          </a:r>
        </a:p>
      </xdr:txBody>
    </xdr:sp>
    <xdr:clientData/>
  </xdr:twoCellAnchor>
  <xdr:twoCellAnchor editAs="oneCell">
    <xdr:from>
      <xdr:col>22</xdr:col>
      <xdr:colOff>116205</xdr:colOff>
      <xdr:row>43</xdr:row>
      <xdr:rowOff>28575</xdr:rowOff>
    </xdr:from>
    <xdr:to>
      <xdr:col>23</xdr:col>
      <xdr:colOff>396240</xdr:colOff>
      <xdr:row>44</xdr:row>
      <xdr:rowOff>30480</xdr:rowOff>
    </xdr:to>
    <xdr:sp macro="" textlink="">
      <xdr:nvSpPr>
        <xdr:cNvPr id="1077" name="Ribbon: Tilted Up 1076">
          <a:extLst>
            <a:ext uri="{FF2B5EF4-FFF2-40B4-BE49-F238E27FC236}">
              <a16:creationId xmlns:a16="http://schemas.microsoft.com/office/drawing/2014/main" id="{00000000-0008-0000-0000-000035040000}"/>
            </a:ext>
          </a:extLst>
        </xdr:cNvPr>
        <xdr:cNvSpPr/>
      </xdr:nvSpPr>
      <xdr:spPr>
        <a:xfrm>
          <a:off x="15337155" y="8648700"/>
          <a:ext cx="889635" cy="192405"/>
        </a:xfrm>
        <a:prstGeom prst="ribbon2">
          <a:avLst/>
        </a:prstGeom>
        <a:solidFill>
          <a:srgbClr val="07B5EB"/>
        </a:solidFill>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a:solidFill>
                <a:sysClr val="windowText" lastClr="000000"/>
              </a:solidFill>
            </a:rPr>
            <a:t>1</a:t>
          </a:r>
        </a:p>
      </xdr:txBody>
    </xdr:sp>
    <xdr:clientData/>
  </xdr:twoCellAnchor>
  <xdr:twoCellAnchor>
    <xdr:from>
      <xdr:col>3</xdr:col>
      <xdr:colOff>0</xdr:colOff>
      <xdr:row>8</xdr:row>
      <xdr:rowOff>0</xdr:rowOff>
    </xdr:from>
    <xdr:to>
      <xdr:col>13</xdr:col>
      <xdr:colOff>889000</xdr:colOff>
      <xdr:row>49</xdr:row>
      <xdr:rowOff>50800</xdr:rowOff>
    </xdr:to>
    <xdr:graphicFrame macro="">
      <xdr:nvGraphicFramePr>
        <xdr:cNvPr id="1110" name="Chart 1109">
          <a:extLst>
            <a:ext uri="{FF2B5EF4-FFF2-40B4-BE49-F238E27FC236}">
              <a16:creationId xmlns:a16="http://schemas.microsoft.com/office/drawing/2014/main" id="{00000000-0008-0000-0000-00005604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10</xdr:row>
      <xdr:rowOff>6350</xdr:rowOff>
    </xdr:from>
    <xdr:to>
      <xdr:col>3</xdr:col>
      <xdr:colOff>0</xdr:colOff>
      <xdr:row>16</xdr:row>
      <xdr:rowOff>133350</xdr:rowOff>
    </xdr:to>
    <mc:AlternateContent xmlns:mc="http://schemas.openxmlformats.org/markup-compatibility/2006" xmlns:a14="http://schemas.microsoft.com/office/drawing/2010/main">
      <mc:Choice Requires="a14">
        <xdr:graphicFrame macro="">
          <xdr:nvGraphicFramePr>
            <xdr:cNvPr id="1111" name="DemoSlicer">
              <a:extLst>
                <a:ext uri="{FF2B5EF4-FFF2-40B4-BE49-F238E27FC236}">
                  <a16:creationId xmlns:a16="http://schemas.microsoft.com/office/drawing/2014/main" id="{00000000-0008-0000-0000-000057040000}"/>
                </a:ext>
              </a:extLst>
            </xdr:cNvPr>
            <xdr:cNvGraphicFramePr/>
          </xdr:nvGraphicFramePr>
          <xdr:xfrm>
            <a:off x="0" y="0"/>
            <a:ext cx="0" cy="0"/>
          </xdr:xfrm>
          <a:graphic>
            <a:graphicData uri="http://schemas.microsoft.com/office/drawing/2010/slicer">
              <sle:slicer xmlns:sle="http://schemas.microsoft.com/office/drawing/2010/slicer" name="DemoSlicer"/>
            </a:graphicData>
          </a:graphic>
        </xdr:graphicFrame>
      </mc:Choice>
      <mc:Fallback xmlns="">
        <xdr:sp macro="" textlink="">
          <xdr:nvSpPr>
            <xdr:cNvPr id="0" name=""/>
            <xdr:cNvSpPr>
              <a:spLocks noTextEdit="1"/>
            </xdr:cNvSpPr>
          </xdr:nvSpPr>
          <xdr:spPr>
            <a:xfrm>
              <a:off x="0" y="2159000"/>
              <a:ext cx="1828800" cy="1270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16</xdr:row>
      <xdr:rowOff>133350</xdr:rowOff>
    </xdr:from>
    <xdr:to>
      <xdr:col>3</xdr:col>
      <xdr:colOff>0</xdr:colOff>
      <xdr:row>36</xdr:row>
      <xdr:rowOff>0</xdr:rowOff>
    </xdr:to>
    <mc:AlternateContent xmlns:mc="http://schemas.openxmlformats.org/markup-compatibility/2006" xmlns:a14="http://schemas.microsoft.com/office/drawing/2010/main">
      <mc:Choice Requires="a14">
        <xdr:graphicFrame macro="">
          <xdr:nvGraphicFramePr>
            <xdr:cNvPr id="1112" name="ProgramSlicer">
              <a:extLst>
                <a:ext uri="{FF2B5EF4-FFF2-40B4-BE49-F238E27FC236}">
                  <a16:creationId xmlns:a16="http://schemas.microsoft.com/office/drawing/2014/main" id="{00000000-0008-0000-0000-000058040000}"/>
                </a:ext>
              </a:extLst>
            </xdr:cNvPr>
            <xdr:cNvGraphicFramePr/>
          </xdr:nvGraphicFramePr>
          <xdr:xfrm>
            <a:off x="0" y="0"/>
            <a:ext cx="0" cy="0"/>
          </xdr:xfrm>
          <a:graphic>
            <a:graphicData uri="http://schemas.microsoft.com/office/drawing/2010/slicer">
              <sle:slicer xmlns:sle="http://schemas.microsoft.com/office/drawing/2010/slicer" name="ProgramSlicer"/>
            </a:graphicData>
          </a:graphic>
        </xdr:graphicFrame>
      </mc:Choice>
      <mc:Fallback xmlns="">
        <xdr:sp macro="" textlink="">
          <xdr:nvSpPr>
            <xdr:cNvPr id="0" name=""/>
            <xdr:cNvSpPr>
              <a:spLocks noTextEdit="1"/>
            </xdr:cNvSpPr>
          </xdr:nvSpPr>
          <xdr:spPr>
            <a:xfrm>
              <a:off x="0" y="3429000"/>
              <a:ext cx="1828800" cy="3810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0</xdr:colOff>
      <xdr:row>8</xdr:row>
      <xdr:rowOff>0</xdr:rowOff>
    </xdr:from>
    <xdr:to>
      <xdr:col>30</xdr:col>
      <xdr:colOff>130175</xdr:colOff>
      <xdr:row>27</xdr:row>
      <xdr:rowOff>114300</xdr:rowOff>
    </xdr:to>
    <xdr:graphicFrame macro="">
      <xdr:nvGraphicFramePr>
        <xdr:cNvPr id="1113" name="Chart 1112">
          <a:extLst>
            <a:ext uri="{FF2B5EF4-FFF2-40B4-BE49-F238E27FC236}">
              <a16:creationId xmlns:a16="http://schemas.microsoft.com/office/drawing/2014/main" id="{00000000-0008-0000-0000-00005904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2.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13.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14.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15.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6.xml"/></Relationships>
</file>

<file path=xl/pivotCache/_rels/pivotCacheDefinition17.xml.rels><?xml version="1.0" encoding="UTF-8" standalone="yes"?>
<Relationships xmlns="http://schemas.openxmlformats.org/package/2006/relationships"><Relationship Id="rId1" Type="http://schemas.openxmlformats.org/officeDocument/2006/relationships/pivotCacheRecords" Target="pivotCacheRecords17.xml"/></Relationships>
</file>

<file path=xl/pivotCache/_rels/pivotCacheDefinition18.xml.rels><?xml version="1.0" encoding="UTF-8" standalone="yes"?>
<Relationships xmlns="http://schemas.openxmlformats.org/package/2006/relationships"><Relationship Id="rId1" Type="http://schemas.openxmlformats.org/officeDocument/2006/relationships/pivotCacheRecords" Target="pivotCacheRecords18.xml"/></Relationships>
</file>

<file path=xl/pivotCache/_rels/pivotCacheDefinition19.xml.rels><?xml version="1.0" encoding="UTF-8" standalone="yes"?>
<Relationships xmlns="http://schemas.openxmlformats.org/package/2006/relationships"><Relationship Id="rId1" Type="http://schemas.openxmlformats.org/officeDocument/2006/relationships/pivotCacheRecords" Target="pivotCacheRecords19.xml"/></Relationships>
</file>

<file path=xl/pivotCache/_rels/pivotCacheDefinition20.xml.rels><?xml version="1.0" encoding="UTF-8" standalone="yes"?>
<Relationships xmlns="http://schemas.openxmlformats.org/package/2006/relationships"><Relationship Id="rId1" Type="http://schemas.openxmlformats.org/officeDocument/2006/relationships/pivotCacheRecords" Target="pivotCacheRecords2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isy Rivera" refreshedDate="45146.623210069447" createdVersion="5" refreshedVersion="8" minRefreshableVersion="3" recordCount="48" xr:uid="{7EE1407D-FA57-47FB-8852-0AB33F0B8601}">
  <cacheSource type="worksheet">
    <worksheetSource ref="A24:G72" sheet="Morning Programs"/>
  </cacheSource>
  <cacheFields count="7">
    <cacheField name="STATION" numFmtId="0">
      <sharedItems count="16">
        <s v="ST1-Program 1 @ 9A "/>
        <s v="ST1-Program 2 @ 10A"/>
        <s v="ST1-Program 3 @ 1130A"/>
        <s v="ST1 -Program 4 @ 12P"/>
        <s v="ST1 -Program 5 @ 1230P"/>
        <s v="ST2-Program 1"/>
        <s v="ST2-Program 2"/>
        <s v="ST2-Program 3"/>
        <s v="ST2-Program 4"/>
        <s v="ST3-Program 1 @ 9A"/>
        <s v="ST3-Program 2 @ 10A"/>
        <s v="ST3-Program 3 @ 11A"/>
        <s v="ST3-Program 4 @ 1130A"/>
        <s v="ST3-Program 5 @ 12P"/>
        <s v="ST4 - Program 1"/>
        <s v="ST4 - Program 2"/>
      </sharedItems>
    </cacheField>
    <cacheField name="DEMO" numFmtId="0">
      <sharedItems count="3">
        <s v="P18-49"/>
        <s v="P25-54"/>
        <s v="F25-54"/>
      </sharedItems>
    </cacheField>
    <cacheField name="Lst Yr" numFmtId="164">
      <sharedItems containsSemiMixedTypes="0" containsString="0" containsNumber="1" minValue="3.7748469999999999E-2" maxValue="1.09584284"/>
    </cacheField>
    <cacheField name="Lst Mnth" numFmtId="0">
      <sharedItems containsMixedTypes="1" containsNumber="1" minValue="2.7185290000000001E-2" maxValue="1.4326850099999999"/>
    </cacheField>
    <cacheField name="Currnt" numFmtId="0">
      <sharedItems containsMixedTypes="1" containsNumber="1" minValue="3.2800830000000003E-2" maxValue="0.80870710999999995"/>
    </cacheField>
    <cacheField name="BTB" numFmtId="0">
      <sharedItems containsMixedTypes="1" containsNumber="1" minValue="-0.65392910196419096" maxValue="1.319163047368632"/>
    </cacheField>
    <cacheField name="YTY" numFmtId="0">
      <sharedItems containsMixedTypes="1" containsNumber="1" minValue="-0.89485422477843746" maxValue="0.82959582783133368"/>
    </cacheField>
  </cacheFields>
  <extLst>
    <ext xmlns:x14="http://schemas.microsoft.com/office/spreadsheetml/2009/9/main" uri="{725AE2AE-9491-48be-B2B4-4EB974FC3084}">
      <x14:pivotCacheDefinition pivotCacheId="1965733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isy Rivera" refreshedDate="45146.623210995371" createdVersion="5" refreshedVersion="8" minRefreshableVersion="3" recordCount="48" xr:uid="{10258F69-8FEF-4439-B20B-E34EBD5C107E}">
  <cacheSource type="worksheet">
    <worksheetSource ref="I24:O72" sheet="Morning Programs"/>
  </cacheSource>
  <cacheFields count="7">
    <cacheField name="STATION" numFmtId="0">
      <sharedItems count="16">
        <s v="ST1-Program 1 @ 9A "/>
        <s v="ST1-Program 2 @ 10A"/>
        <s v="ST1-Program 3 @ 1130A"/>
        <s v="ST1 -Program 4 @ 12P"/>
        <s v="ST1 -Program 5 @ 1230P"/>
        <s v="ST2-Program 1"/>
        <s v="ST2-Program 2"/>
        <s v="ST2-Program 3"/>
        <s v="ST2-Program 4"/>
        <s v="ST3-Program 1 @ 9A"/>
        <s v="ST3-Program 2 @ 10A"/>
        <s v="ST3-Program 3 @ 11A"/>
        <s v="ST3-Program 4 @ 1130A"/>
        <s v="ST3-Program 5 @ 12P"/>
        <s v="ST4 - Program 1"/>
        <s v="ST4 - Program 2"/>
      </sharedItems>
    </cacheField>
    <cacheField name="DEMO" numFmtId="0">
      <sharedItems count="3">
        <s v="P18-49"/>
        <s v="P25-54"/>
        <s v="F25-54"/>
      </sharedItems>
    </cacheField>
    <cacheField name="Lst Yr" numFmtId="3">
      <sharedItems containsSemiMixedTypes="0" containsString="0" containsNumber="1" minValue="0.76725038999999995" maxValue="24.14284434"/>
    </cacheField>
    <cacheField name="Lst Mnth" numFmtId="0">
      <sharedItems containsMixedTypes="1" containsNumber="1" minValue="0.78843841999999997" maxValue="25.00080556"/>
    </cacheField>
    <cacheField name="Currnt" numFmtId="0">
      <sharedItems containsMixedTypes="1" containsNumber="1" minValue="1.7191302500000001" maxValue="16.668915640000002"/>
    </cacheField>
    <cacheField name="BTB" numFmtId="0">
      <sharedItems containsMixedTypes="1" containsNumber="1" minValue="-0.55029210988844746" maxValue="1.6430635001272518"/>
    </cacheField>
    <cacheField name="YTY" numFmtId="0">
      <sharedItems containsMixedTypes="1" containsNumber="1" minValue="-0.77961629540414856" maxValue="2.0700673778366063"/>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isy Rivera" refreshedDate="45146.623211458333" createdVersion="5" refreshedVersion="8" minRefreshableVersion="3" recordCount="48" xr:uid="{BD2E652D-E84E-48E1-B46B-357335B55736}">
  <cacheSource type="worksheet">
    <worksheetSource ref="Q24:W72" sheet="Morning Programs"/>
  </cacheSource>
  <cacheFields count="7">
    <cacheField name="STATION" numFmtId="0">
      <sharedItems count="16">
        <s v="ST1-Program 1 @ 9A "/>
        <s v="ST1-Program 2 @ 10A"/>
        <s v="ST1-Program 3 @ 1130A"/>
        <s v="ST1 -Program 4 @ 12P"/>
        <s v="ST1 -Program 5 @ 1230P"/>
        <s v="ST2-Program 1"/>
        <s v="ST2-Program 2"/>
        <s v="ST2-Program 3"/>
        <s v="ST2-Program 4"/>
        <s v="ST3-Program 1 @ 9A"/>
        <s v="ST3-Program 2 @ 10A"/>
        <s v="ST3-Program 3 @ 11A"/>
        <s v="ST3-Program 4 @ 1130A"/>
        <s v="ST3-Program 5 @ 12P"/>
        <s v="ST4 - Program 1"/>
        <s v="ST4 - Program 2"/>
      </sharedItems>
    </cacheField>
    <cacheField name="DEMO" numFmtId="0">
      <sharedItems count="3">
        <s v="P18-49"/>
        <s v="P25-54"/>
        <s v="F25-54"/>
      </sharedItems>
    </cacheField>
    <cacheField name="Lst Yr" numFmtId="3">
      <sharedItems containsSemiMixedTypes="0" containsString="0" containsNumber="1" containsInteger="1" minValue="215" maxValue="9021"/>
    </cacheField>
    <cacheField name="Lst Mnth" numFmtId="0">
      <sharedItems containsMixedTypes="1" containsNumber="1" containsInteger="1" minValue="156" maxValue="12088"/>
    </cacheField>
    <cacheField name="Currnt" numFmtId="0">
      <sharedItems containsMixedTypes="1" containsNumber="1" containsInteger="1" minValue="363" maxValue="8347"/>
    </cacheField>
    <cacheField name="BTB" numFmtId="0">
      <sharedItems containsMixedTypes="1" containsNumber="1" minValue="-0.61148977604673804" maxValue="1.3269230769230769"/>
    </cacheField>
    <cacheField name="YTY" numFmtId="0">
      <sharedItems containsMixedTypes="1" containsNumber="1" minValue="-0.68448164842240822" maxValue="0.8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isy Rivera" refreshedDate="45146.623212152779" createdVersion="5" refreshedVersion="8" minRefreshableVersion="3" recordCount="48" xr:uid="{78D85354-3A09-467A-A865-A0EA38CC00C3}">
  <cacheSource type="worksheet">
    <worksheetSource ref="Y24:AE72" sheet="Morning Programs"/>
  </cacheSource>
  <cacheFields count="7">
    <cacheField name="STATION" numFmtId="0">
      <sharedItems count="16">
        <s v="ST1-Program 1 @ 9A "/>
        <s v="ST1-Program 2 @ 10A"/>
        <s v="ST1-Program 3 @ 1130A"/>
        <s v="ST1 -Program 4 @ 12P"/>
        <s v="ST1 -Program 5 @ 1230P"/>
        <s v="ST2-Program 1"/>
        <s v="ST2-Program 2"/>
        <s v="ST2-Program 3"/>
        <s v="ST2-Program 4"/>
        <s v="ST3-Program 1 @ 9A"/>
        <s v="ST3-Program 2 @ 10A"/>
        <s v="ST3-Program 3 @ 11A"/>
        <s v="ST3-Program 4 @ 1130A"/>
        <s v="ST3-Program 5 @ 12P"/>
        <s v="ST4 - Program 1"/>
        <s v="ST4 - Program 2"/>
      </sharedItems>
    </cacheField>
    <cacheField name="DEMO" numFmtId="0">
      <sharedItems count="3">
        <s v="P18-49"/>
        <s v="P25-54"/>
        <s v="F25-54"/>
      </sharedItems>
    </cacheField>
    <cacheField name="Lst Yr" numFmtId="3">
      <sharedItems containsSemiMixedTypes="0" containsString="0" containsNumber="1" minValue="1949.8" maxValue="7776.9"/>
    </cacheField>
    <cacheField name="Lst Mnth" numFmtId="0">
      <sharedItems containsMixedTypes="1" containsNumber="1" minValue="1984" maxValue="6421.3"/>
    </cacheField>
    <cacheField name="Currnt" numFmtId="0">
      <sharedItems containsMixedTypes="1" containsNumber="1" minValue="1740.9" maxValue="6896.5"/>
    </cacheField>
    <cacheField name="BTB" numFmtId="0">
      <sharedItems containsMixedTypes="1" containsNumber="1" minValue="-0.19837062446402123" maxValue="0.48217923772461935"/>
    </cacheField>
    <cacheField name="YTY" numFmtId="0">
      <sharedItems containsMixedTypes="1" containsNumber="1" minValue="-0.36943498799250524" maxValue="0.79929871430956756"/>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isy Rivera" refreshedDate="45146.623212847226" createdVersion="5" refreshedVersion="8" minRefreshableVersion="3" recordCount="48" xr:uid="{48373227-5A35-45F4-ABA4-DDCA2EC385E3}">
  <cacheSource type="worksheet">
    <worksheetSource ref="AG24:AM72" sheet="Morning Programs"/>
  </cacheSource>
  <cacheFields count="7">
    <cacheField name="STATION" numFmtId="0">
      <sharedItems count="16">
        <s v="ST1-Program 1 @ 9A "/>
        <s v="ST1-Program 2 @ 10A"/>
        <s v="ST1-Program 3 @ 1130A"/>
        <s v="ST1 -Program 4 @ 12P"/>
        <s v="ST1 -Program 5 @ 1230P"/>
        <s v="ST2-Program 1"/>
        <s v="ST2-Program 2"/>
        <s v="ST2-Program 3"/>
        <s v="ST2-Program 4"/>
        <s v="ST3-Program 1 @ 9A"/>
        <s v="ST3-Program 2 @ 10A"/>
        <s v="ST3-Program 3 @ 11A"/>
        <s v="ST3-Program 4 @ 1130A"/>
        <s v="ST3-Program 5 @ 12P"/>
        <s v="ST4 - Program 1"/>
        <s v="ST4 - Program 2"/>
      </sharedItems>
    </cacheField>
    <cacheField name="DEMO" numFmtId="0">
      <sharedItems count="3">
        <s v="P18-49"/>
        <s v="P25-54"/>
        <s v="F25-54"/>
      </sharedItems>
    </cacheField>
    <cacheField name="Lst Yr" numFmtId="164">
      <sharedItems containsSemiMixedTypes="0" containsString="0" containsNumber="1" minValue="2.15064236" maxValue="7.5485023599999996"/>
    </cacheField>
    <cacheField name="Lst Mnth" numFmtId="0">
      <sharedItems containsMixedTypes="1" containsNumber="1" minValue="2.0021104599999999" maxValue="6.4842151899999996"/>
    </cacheField>
    <cacheField name="Currnt" numFmtId="0">
      <sharedItems containsMixedTypes="1" containsNumber="1" minValue="1.90798998" maxValue="6.1870441200000004"/>
    </cacheField>
    <cacheField name="BTB" numFmtId="0">
      <sharedItems containsMixedTypes="1" containsNumber="1" minValue="-0.23744774241501712" maxValue="0.20610106199466091"/>
    </cacheField>
    <cacheField name="YTY" numFmtId="0">
      <sharedItems containsMixedTypes="1" containsNumber="1" minValue="-0.41373553327218576" maxValue="0.5092444984669604"/>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isy Rivera" refreshedDate="45146.623444791665" createdVersion="5" refreshedVersion="8" minRefreshableVersion="3" recordCount="15" xr:uid="{A3191FCF-B253-49FE-8C1C-A73E4AA239ED}">
  <cacheSource type="worksheet">
    <worksheetSource ref="A13:G28" sheet="Midday Programs"/>
  </cacheSource>
  <cacheFields count="7">
    <cacheField name="STATION" numFmtId="0">
      <sharedItems count="5">
        <s v="ST1 -Program 1"/>
        <s v="ST1 -Program 2"/>
        <s v="ST2 - Program 1"/>
        <s v="ST3 - Program 1"/>
        <s v="ST4 - Program 1"/>
      </sharedItems>
    </cacheField>
    <cacheField name="DEMO" numFmtId="0">
      <sharedItems count="3">
        <s v="P18-49"/>
        <s v="P25-54"/>
        <s v="F25-54"/>
      </sharedItems>
    </cacheField>
    <cacheField name="Lst Yr" numFmtId="164">
      <sharedItems containsSemiMixedTypes="0" containsString="0" containsNumber="1" minValue="9.5535610000000007E-2" maxValue="0.96587818000000003"/>
    </cacheField>
    <cacheField name="Lst Mnth" numFmtId="0">
      <sharedItems containsMixedTypes="1" containsNumber="1" minValue="0.10202774000000001" maxValue="0.84621851000000003"/>
    </cacheField>
    <cacheField name="Currnt" numFmtId="164">
      <sharedItems containsSemiMixedTypes="0" containsString="0" containsNumber="1" minValue="0.14217258999999999" maxValue="0.94235838999999999"/>
    </cacheField>
    <cacheField name="BTB" numFmtId="0">
      <sharedItems containsMixedTypes="1" containsNumber="1" minValue="-0.52455874497438115" maxValue="2.1276478521911382"/>
    </cacheField>
    <cacheField name="YTY" numFmtId="0">
      <sharedItems containsSemiMixedTypes="0" containsString="0" containsNumber="1" minValue="-0.59424661493482922" maxValue="2.1918026168462208"/>
    </cacheField>
  </cacheFields>
  <extLst>
    <ext xmlns:x14="http://schemas.microsoft.com/office/spreadsheetml/2009/9/main" uri="{725AE2AE-9491-48be-B2B4-4EB974FC3084}">
      <x14:pivotCacheDefinition pivotCacheId="1770477004"/>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isy Rivera" refreshedDate="45146.62344560185" createdVersion="5" refreshedVersion="8" minRefreshableVersion="3" recordCount="15" xr:uid="{5780484B-E690-4313-BD45-3CC8A1CF60A2}">
  <cacheSource type="worksheet">
    <worksheetSource ref="I13:O28" sheet="Midday Programs"/>
  </cacheSource>
  <cacheFields count="7">
    <cacheField name="STATION" numFmtId="0">
      <sharedItems count="5">
        <s v="ST1 -Program 1"/>
        <s v="ST1 -Program 2"/>
        <s v="ST2 - Program 1"/>
        <s v="ST3 - Program 1"/>
        <s v="ST4 - Program 1"/>
      </sharedItems>
    </cacheField>
    <cacheField name="DEMO" numFmtId="0">
      <sharedItems count="3">
        <s v="P18-49"/>
        <s v="P25-54"/>
        <s v="F25-54"/>
      </sharedItems>
    </cacheField>
    <cacheField name="Lst Yr" numFmtId="3">
      <sharedItems containsSemiMixedTypes="0" containsString="0" containsNumber="1" minValue="1.98272318" maxValue="8.5832370099999995"/>
    </cacheField>
    <cacheField name="Lst Mnth" numFmtId="3">
      <sharedItems containsSemiMixedTypes="0" containsString="0" containsNumber="1" minValue="1.9707520199999999" maxValue="12.85236171"/>
    </cacheField>
    <cacheField name="Currnt" numFmtId="3">
      <sharedItems containsSemiMixedTypes="0" containsString="0" containsNumber="1" minValue="2.4801975000000001" maxValue="9.7845693399999991"/>
    </cacheField>
    <cacheField name="BTB" numFmtId="0">
      <sharedItems containsSemiMixedTypes="0" containsString="0" containsNumber="1" minValue="-0.2510937304056397" maxValue="0.60001578729644078"/>
    </cacheField>
    <cacheField name="YTY" numFmtId="0">
      <sharedItems containsSemiMixedTypes="0" containsString="0" containsNumber="1" minValue="7.0882853503744431E-2" maxValue="1.5272835804820823"/>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isy Rivera" refreshedDate="45146.623446296297" createdVersion="5" refreshedVersion="8" minRefreshableVersion="3" recordCount="15" xr:uid="{7557C08E-4AD5-420C-99D6-0795EB5AE6BE}">
  <cacheSource type="worksheet">
    <worksheetSource ref="Q13:W28" sheet="Midday Programs"/>
  </cacheSource>
  <cacheFields count="7">
    <cacheField name="STATION" numFmtId="0">
      <sharedItems count="5">
        <s v="ST1 -Program 1"/>
        <s v="ST1 -Program 2"/>
        <s v="ST2 - Program 1"/>
        <s v="ST3 - Program 1"/>
        <s v="ST4 - Program 1"/>
      </sharedItems>
    </cacheField>
    <cacheField name="DEMO" numFmtId="0">
      <sharedItems count="3">
        <s v="P18-49"/>
        <s v="P25-54"/>
        <s v="F25-54"/>
      </sharedItems>
    </cacheField>
    <cacheField name="Lst Yr" numFmtId="3">
      <sharedItems containsSemiMixedTypes="0" containsString="0" containsNumber="1" containsInteger="1" minValue="973" maxValue="7569"/>
    </cacheField>
    <cacheField name="Lst Mnth" numFmtId="3">
      <sharedItems containsSemiMixedTypes="0" containsString="0" containsNumber="1" containsInteger="1" minValue="1278" maxValue="8061"/>
    </cacheField>
    <cacheField name="Currnt" numFmtId="3">
      <sharedItems containsSemiMixedTypes="0" containsString="0" containsNumber="1" containsInteger="1" minValue="1335" maxValue="7570"/>
    </cacheField>
    <cacheField name="BTB" numFmtId="0">
      <sharedItems containsSemiMixedTypes="0" containsString="0" containsNumber="1" minValue="-0.19895287958115182" maxValue="1.1268079381096536"/>
    </cacheField>
    <cacheField name="YTY" numFmtId="0">
      <sharedItems containsSemiMixedTypes="0" containsString="0" containsNumber="1" minValue="-0.40888760640600202" maxValue="1.897800183318056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isy Rivera" refreshedDate="45146.623447106482" createdVersion="5" refreshedVersion="8" minRefreshableVersion="3" recordCount="15" xr:uid="{A9EDF6E5-1B9B-4494-A528-019C13BCA130}">
  <cacheSource type="worksheet">
    <worksheetSource ref="Y13:AE28" sheet="Midday Programs"/>
  </cacheSource>
  <cacheFields count="7">
    <cacheField name="STATION" numFmtId="0">
      <sharedItems count="5">
        <s v="ST1 -Program 1"/>
        <s v="ST1 -Program 2"/>
        <s v="ST2 - Program 1"/>
        <s v="ST3 - Program 1"/>
        <s v="ST4 - Program 1"/>
      </sharedItems>
    </cacheField>
    <cacheField name="DEMO" numFmtId="0">
      <sharedItems count="3">
        <s v="P18-49"/>
        <s v="P25-54"/>
        <s v="F25-54"/>
      </sharedItems>
    </cacheField>
    <cacheField name="Lst Yr" numFmtId="3">
      <sharedItems containsSemiMixedTypes="0" containsString="0" containsNumber="1" minValue="4017.9" maxValue="9653.6"/>
    </cacheField>
    <cacheField name="Lst Mnth" numFmtId="3">
      <sharedItems containsSemiMixedTypes="0" containsString="0" containsNumber="1" minValue="2749.2" maxValue="7936.3"/>
    </cacheField>
    <cacheField name="Currnt" numFmtId="3">
      <sharedItems containsSemiMixedTypes="0" containsString="0" containsNumber="1" minValue="3187.4" maxValue="7856.3"/>
    </cacheField>
    <cacheField name="BTB" numFmtId="0">
      <sharedItems containsSemiMixedTypes="0" containsString="0" containsNumber="1" minValue="-0.10754740127857366" maxValue="1.0843692449355435"/>
    </cacheField>
    <cacheField name="YTY" numFmtId="0">
      <sharedItems containsSemiMixedTypes="0" containsString="0" containsNumber="1" minValue="-0.33016706945466007" maxValue="0.77326250336605551"/>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isy Rivera" refreshedDate="45146.623448148152" createdVersion="5" refreshedVersion="8" minRefreshableVersion="3" recordCount="15" xr:uid="{9D599840-8AD5-4B2E-A57E-9DDFFD05A796}">
  <cacheSource type="worksheet">
    <worksheetSource ref="AG13:AM28" sheet="Midday Programs"/>
  </cacheSource>
  <cacheFields count="7">
    <cacheField name="STATION" numFmtId="0">
      <sharedItems count="5">
        <s v="ST1 -Program 1"/>
        <s v="ST1 -Program 2"/>
        <s v="ST2 - Program 1"/>
        <s v="ST3 - Program 1"/>
        <s v="ST4 - Program 1"/>
      </sharedItems>
    </cacheField>
    <cacheField name="DEMO" numFmtId="0">
      <sharedItems count="3">
        <s v="P18-49"/>
        <s v="P25-54"/>
        <s v="F25-54"/>
      </sharedItems>
    </cacheField>
    <cacheField name="Lst Yr" numFmtId="164">
      <sharedItems containsSemiMixedTypes="0" containsString="0" containsNumber="1" minValue="5.6047827100000003" maxValue="9.8059161600000007"/>
    </cacheField>
    <cacheField name="Lst Mnth" numFmtId="164">
      <sharedItems containsSemiMixedTypes="0" containsString="0" containsNumber="1" minValue="4.1770967499999996" maxValue="6.9841479099999999"/>
    </cacheField>
    <cacheField name="Currnt" numFmtId="164">
      <sharedItems containsSemiMixedTypes="0" containsString="0" containsNumber="1" minValue="5.4759545899999997" maxValue="7.4574472199999997"/>
    </cacheField>
    <cacheField name="BTB" numFmtId="0">
      <sharedItems containsSemiMixedTypes="0" containsString="0" containsNumber="1" minValue="-4.6605846981952248E-2" maxValue="0.37231900362374915"/>
    </cacheField>
    <cacheField name="YTY" numFmtId="0">
      <sharedItems containsSemiMixedTypes="0" containsString="0" containsNumber="1" minValue="-0.25049665935548854" maxValue="1.9670883904792751E-2"/>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isy Rivera" refreshedDate="45146.623476620371" createdVersion="5" refreshedVersion="8" minRefreshableVersion="3" recordCount="30" xr:uid="{54293979-AE25-4017-B442-4220963E6640}">
  <cacheSource type="worksheet">
    <worksheetSource ref="A18:G48" sheet="Evening Programs"/>
  </cacheSource>
  <cacheFields count="7">
    <cacheField name="STATION" numFmtId="0">
      <sharedItems count="10">
        <s v="ST1-Program 1"/>
        <s v="ST1-Program 2 "/>
        <s v="ST1-Program 3 "/>
        <s v="ST2-Program 1"/>
        <s v="ST2-Program 2"/>
        <s v="ST2-Program 3"/>
        <s v="ST3-Program 1"/>
        <s v="ST3-Program 2"/>
        <s v="ST4 - Program 1"/>
        <s v="ST4 - Program 2"/>
      </sharedItems>
    </cacheField>
    <cacheField name="DEMO" numFmtId="0">
      <sharedItems count="3">
        <s v="P18-49"/>
        <s v="P25-54"/>
        <s v="F25-54"/>
      </sharedItems>
    </cacheField>
    <cacheField name="Lst Yr" numFmtId="0">
      <sharedItems containsMixedTypes="1" containsNumber="1" minValue="0.2414616" maxValue="2.6364485700000002"/>
    </cacheField>
    <cacheField name="Lst Mnth" numFmtId="164">
      <sharedItems containsSemiMixedTypes="0" containsString="0" containsNumber="1" minValue="0.10202774000000001" maxValue="1.71400694"/>
    </cacheField>
    <cacheField name="Currnt" numFmtId="164">
      <sharedItems containsSemiMixedTypes="0" containsString="0" containsNumber="1" minValue="0.14217258999999999" maxValue="1.72960951"/>
    </cacheField>
    <cacheField name="BTB" numFmtId="0">
      <sharedItems containsSemiMixedTypes="0" containsString="0" containsNumber="1" minValue="-0.51686504484329421" maxValue="2.1276478521911382"/>
    </cacheField>
    <cacheField name="YTY" numFmtId="0">
      <sharedItems containsMixedTypes="1" containsNumber="1" minValue="-0.58057916604714943" maxValue="3.0226571238658826"/>
    </cacheField>
  </cacheFields>
  <extLst>
    <ext xmlns:x14="http://schemas.microsoft.com/office/spreadsheetml/2009/9/main" uri="{725AE2AE-9491-48be-B2B4-4EB974FC3084}">
      <x14:pivotCacheDefinition pivotCacheId="1305557213"/>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isy Rivera" refreshedDate="45146.623477430556" createdVersion="5" refreshedVersion="8" minRefreshableVersion="3" recordCount="30" xr:uid="{D8194C74-9656-446B-9CC3-70BB6FC8C661}">
  <cacheSource type="worksheet">
    <worksheetSource ref="I18:O48" sheet="Evening Programs"/>
  </cacheSource>
  <cacheFields count="7">
    <cacheField name="STATION" numFmtId="0">
      <sharedItems count="10">
        <s v="ST1-Program 1"/>
        <s v="ST1-Program 2 "/>
        <s v="ST1-Program 3 "/>
        <s v="ST2-Program 1"/>
        <s v="ST2-Program 2"/>
        <s v="ST2-Program 3"/>
        <s v="ST3-Program 1"/>
        <s v="ST3-Program 2"/>
        <s v="ST4 - Program 1"/>
        <s v="ST4 - Program 2"/>
      </sharedItems>
    </cacheField>
    <cacheField name="DEMO" numFmtId="0">
      <sharedItems count="3">
        <s v="P18-49"/>
        <s v="P25-54"/>
        <s v="F25-54"/>
      </sharedItems>
    </cacheField>
    <cacheField name="Lst Yr" numFmtId="0">
      <sharedItems containsMixedTypes="1" containsNumber="1" minValue="2.8566099600000001" maxValue="17.896421140000001"/>
    </cacheField>
    <cacheField name="Lst Mnth" numFmtId="3">
      <sharedItems containsSemiMixedTypes="0" containsString="0" containsNumber="1" minValue="1.9707520199999999" maxValue="14.631044149999999"/>
    </cacheField>
    <cacheField name="Currnt" numFmtId="3">
      <sharedItems containsSemiMixedTypes="0" containsString="0" containsNumber="1" minValue="2.1965613400000001" maxValue="16.668915640000002"/>
    </cacheField>
    <cacheField name="BTB" numFmtId="0">
      <sharedItems containsSemiMixedTypes="0" containsString="0" containsNumber="1" minValue="-0.48954375633661829" maxValue="3.0142683554794445"/>
    </cacheField>
    <cacheField name="YTY" numFmtId="0">
      <sharedItems containsMixedTypes="1" containsNumber="1" minValue="-0.75002275878789737" maxValue="3.97361864920041"/>
    </cacheField>
  </cacheFields>
  <extLst>
    <ext xmlns:x14="http://schemas.microsoft.com/office/spreadsheetml/2009/9/main" uri="{725AE2AE-9491-48be-B2B4-4EB974FC3084}">
      <x14:pivotCacheDefinition/>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isy Rivera" refreshedDate="45146.623478009256" createdVersion="5" refreshedVersion="8" minRefreshableVersion="3" recordCount="30" xr:uid="{8994ADA0-2ABC-4188-ADDA-A36B0CD86EF5}">
  <cacheSource type="worksheet">
    <worksheetSource ref="Q18:W48" sheet="Evening Programs"/>
  </cacheSource>
  <cacheFields count="7">
    <cacheField name="STATION" numFmtId="0">
      <sharedItems count="10">
        <s v="ST1-Program 1"/>
        <s v="ST1-Program 2 "/>
        <s v="ST1-Program 3 "/>
        <s v="ST2-Program 1"/>
        <s v="ST2-Program 2"/>
        <s v="ST2-Program 3"/>
        <s v="ST3-Program 1"/>
        <s v="ST3-Program 2"/>
        <s v="ST4 - Program 1"/>
        <s v="ST4 - Program 2"/>
      </sharedItems>
    </cacheField>
    <cacheField name="DEMO" numFmtId="0">
      <sharedItems count="3">
        <s v="P18-49"/>
        <s v="P25-54"/>
        <s v="F25-54"/>
      </sharedItems>
    </cacheField>
    <cacheField name="Lst Yr" numFmtId="0">
      <sharedItems containsMixedTypes="1" containsNumber="1" containsInteger="1" minValue="615" maxValue="18621"/>
    </cacheField>
    <cacheField name="Lst Mnth" numFmtId="3">
      <sharedItems containsSemiMixedTypes="0" containsString="0" containsNumber="1" containsInteger="1" minValue="1278" maxValue="17549"/>
    </cacheField>
    <cacheField name="Currnt" numFmtId="3">
      <sharedItems containsSemiMixedTypes="0" containsString="0" containsNumber="1" containsInteger="1" minValue="1530" maxValue="17030"/>
    </cacheField>
    <cacheField name="BTB" numFmtId="0">
      <sharedItems containsSemiMixedTypes="0" containsString="0" containsNumber="1" minValue="-0.51687388987566607" maxValue="0.54856361149110811"/>
    </cacheField>
    <cacheField name="YTY" numFmtId="0">
      <sharedItems containsMixedTypes="1" containsNumber="1" minValue="-0.57558416785884592" maxValue="5.0048780487804878"/>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isy Rivera" refreshedDate="45146.623478703703" createdVersion="5" refreshedVersion="8" minRefreshableVersion="3" recordCount="30" xr:uid="{A43CDCB9-2C27-4DC8-AED8-9E752E389004}">
  <cacheSource type="worksheet">
    <worksheetSource ref="Y18:AE48" sheet="Evening Programs"/>
  </cacheSource>
  <cacheFields count="7">
    <cacheField name="STATION" numFmtId="0">
      <sharedItems count="10">
        <s v="ST1-Program 1"/>
        <s v="ST1-Program 2 "/>
        <s v="ST1-Program 3 "/>
        <s v="ST2-Program 1"/>
        <s v="ST2-Program 2"/>
        <s v="ST2-Program 3"/>
        <s v="ST3-Program 1"/>
        <s v="ST3-Program 2"/>
        <s v="ST4 - Program 1"/>
        <s v="ST4 - Program 2"/>
      </sharedItems>
    </cacheField>
    <cacheField name="DEMO" numFmtId="0">
      <sharedItems count="3">
        <s v="P18-49"/>
        <s v="P25-54"/>
        <s v="F25-54"/>
      </sharedItems>
    </cacheField>
    <cacheField name="Lst Yr" numFmtId="0">
      <sharedItems containsMixedTypes="1" containsNumber="1" minValue="3789.3" maxValue="17000.8"/>
    </cacheField>
    <cacheField name="Lst Mnth" numFmtId="3">
      <sharedItems containsSemiMixedTypes="0" containsString="0" containsNumber="1" minValue="2749.2" maxValue="13986.6"/>
    </cacheField>
    <cacheField name="Currnt" numFmtId="3">
      <sharedItems containsSemiMixedTypes="0" containsString="0" containsNumber="1" minValue="2056.5" maxValue="13914"/>
    </cacheField>
    <cacheField name="BTB" numFmtId="0">
      <sharedItems containsSemiMixedTypes="0" containsString="0" containsNumber="1" minValue="-0.70035871446745501" maxValue="1.0843692449355435"/>
    </cacheField>
    <cacheField name="YTY" numFmtId="0">
      <sharedItems containsMixedTypes="1" containsNumber="1" minValue="-0.73491188418191267" maxValue="2.3670667628271169"/>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isy Rivera" refreshedDate="45146.623479282411" createdVersion="5" refreshedVersion="8" minRefreshableVersion="3" recordCount="30" xr:uid="{887FA2A5-6E40-481D-9871-E25206909B9E}">
  <cacheSource type="worksheet">
    <worksheetSource ref="AG18:AM48" sheet="Evening Programs"/>
  </cacheSource>
  <cacheFields count="7">
    <cacheField name="STATION" numFmtId="0">
      <sharedItems count="10">
        <s v="ST1-Program 1"/>
        <s v="ST1-Program 2 "/>
        <s v="ST1-Program 3 "/>
        <s v="ST2-Program 1"/>
        <s v="ST2-Program 2"/>
        <s v="ST2-Program 3"/>
        <s v="ST3-Program 1"/>
        <s v="ST3-Program 2"/>
        <s v="ST4 - Program 1"/>
        <s v="ST4 - Program 2"/>
      </sharedItems>
    </cacheField>
    <cacheField name="DEMO" numFmtId="0">
      <sharedItems count="3">
        <s v="P18-49"/>
        <s v="P25-54"/>
        <s v="F25-54"/>
      </sharedItems>
    </cacheField>
    <cacheField name="Lst Yr" numFmtId="0">
      <sharedItems containsMixedTypes="1" containsNumber="1" minValue="2.9232752899999999" maxValue="15.298768020000001"/>
    </cacheField>
    <cacheField name="Lst Mnth" numFmtId="164">
      <sharedItems containsSemiMixedTypes="0" containsString="0" containsNumber="1" minValue="2.2582308499999999" maxValue="13.22581967"/>
    </cacheField>
    <cacheField name="Currnt" numFmtId="164">
      <sharedItems containsSemiMixedTypes="0" containsString="0" containsNumber="1" minValue="2.2945331499999999" maxValue="12.41706385"/>
    </cacheField>
    <cacheField name="BTB" numFmtId="0">
      <sharedItems containsSemiMixedTypes="0" containsString="0" containsNumber="1" minValue="-0.70035730696331855" maxValue="3.325722350307986"/>
    </cacheField>
    <cacheField name="YTY" numFmtId="0">
      <sharedItems containsMixedTypes="1" containsNumber="1" minValue="-0.73785642566544607" maxValue="2.3296405916110623"/>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isy Rivera" refreshedDate="45146.623513888888" createdVersion="5" refreshedVersion="8" minRefreshableVersion="3" recordCount="18" xr:uid="{D49AB2BF-8D7D-4C90-A61B-298121071609}">
  <cacheSource type="worksheet">
    <worksheetSource ref="A14:G32" sheet="Late Programs"/>
  </cacheSource>
  <cacheFields count="7">
    <cacheField name="STATION" numFmtId="0">
      <sharedItems count="6">
        <s v="ST1 -Program 1"/>
        <s v="ST1 -Program 2"/>
        <s v="ST2 - Program 1"/>
        <s v="ST3 - Program 1"/>
        <s v="ST4 - Program 1"/>
        <s v="ST5 - Program 1"/>
      </sharedItems>
    </cacheField>
    <cacheField name="DEMO" numFmtId="0">
      <sharedItems count="3">
        <s v="P18-49"/>
        <s v="P25-54"/>
        <s v="F25-54"/>
      </sharedItems>
    </cacheField>
    <cacheField name="Lst Yr" numFmtId="164">
      <sharedItems containsSemiMixedTypes="0" containsString="0" containsNumber="1" minValue="0.18355446" maxValue="1.25590559"/>
    </cacheField>
    <cacheField name="Lst Mnth" numFmtId="164">
      <sharedItems containsSemiMixedTypes="0" containsString="0" containsNumber="1" minValue="0.27971040000000003" maxValue="1.2787318000000001"/>
    </cacheField>
    <cacheField name="Currnt" numFmtId="164">
      <sharedItems containsSemiMixedTypes="0" containsString="0" containsNumber="1" minValue="0.27147176000000001" maxValue="2.19684072"/>
    </cacheField>
    <cacheField name="BTB" numFmtId="0">
      <sharedItems containsSemiMixedTypes="0" containsString="0" containsNumber="1" minValue="-0.44781870785492983" maxValue="1.7555719176451989"/>
    </cacheField>
    <cacheField name="YTY" numFmtId="0">
      <sharedItems containsSemiMixedTypes="0" containsString="0" containsNumber="1" minValue="-0.55112612510200953" maxValue="2.3270507982158146"/>
    </cacheField>
  </cacheFields>
  <extLst>
    <ext xmlns:x14="http://schemas.microsoft.com/office/spreadsheetml/2009/9/main" uri="{725AE2AE-9491-48be-B2B4-4EB974FC3084}">
      <x14:pivotCacheDefinition pivotCacheId="1348234643"/>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isy Rivera" refreshedDate="45146.623514699073" createdVersion="5" refreshedVersion="8" minRefreshableVersion="3" recordCount="18" xr:uid="{F7D1D51D-6290-4352-AE7B-459A35FEF7E1}">
  <cacheSource type="worksheet">
    <worksheetSource ref="I14:O32" sheet="Late Programs"/>
  </cacheSource>
  <cacheFields count="7">
    <cacheField name="STATION" numFmtId="0">
      <sharedItems count="6">
        <s v="ST1 -Program 1"/>
        <s v="ST1 -Program 2"/>
        <s v="ST2 - Program 1"/>
        <s v="ST3 - Program 1"/>
        <s v="ST4 - Program 1"/>
        <s v="ST5 - Program 1"/>
      </sharedItems>
    </cacheField>
    <cacheField name="DEMO" numFmtId="0">
      <sharedItems count="3">
        <s v="P18-49"/>
        <s v="P25-54"/>
        <s v="F25-54"/>
      </sharedItems>
    </cacheField>
    <cacheField name="Lst Yr" numFmtId="3">
      <sharedItems containsSemiMixedTypes="0" containsString="0" containsNumber="1" minValue="1.4561689499999999" maxValue="7.97643507"/>
    </cacheField>
    <cacheField name="Lst Mnth" numFmtId="3">
      <sharedItems containsSemiMixedTypes="0" containsString="0" containsNumber="1" minValue="3.2165419700000002" maxValue="16.668915640000002"/>
    </cacheField>
    <cacheField name="Currnt" numFmtId="3">
      <sharedItems containsSemiMixedTypes="0" containsString="0" containsNumber="1" minValue="2.5398617799999998" maxValue="18.99379467"/>
    </cacheField>
    <cacheField name="BTB" numFmtId="0">
      <sharedItems containsSemiMixedTypes="0" containsString="0" containsNumber="1" minValue="-0.61287061998588421" maxValue="1.7325998143038477"/>
    </cacheField>
    <cacheField name="YTY" numFmtId="0">
      <sharedItems containsSemiMixedTypes="0" containsString="0" containsNumber="1" minValue="-0.44417781350853641" maxValue="8.768592634803813"/>
    </cacheField>
  </cacheFields>
  <extLst>
    <ext xmlns:x14="http://schemas.microsoft.com/office/spreadsheetml/2009/9/main" uri="{725AE2AE-9491-48be-B2B4-4EB974FC3084}">
      <x14:pivotCacheDefinition pivotCacheId="1600347336"/>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isy Rivera" refreshedDate="45146.623515393519" createdVersion="5" refreshedVersion="8" minRefreshableVersion="3" recordCount="18" xr:uid="{8392FB3B-0BC1-44D8-8C14-BAE3E23AA0AC}">
  <cacheSource type="worksheet">
    <worksheetSource ref="Q14:W32" sheet="Late Programs"/>
  </cacheSource>
  <cacheFields count="7">
    <cacheField name="STATION" numFmtId="0">
      <sharedItems count="6">
        <s v="ST1 -Program 1"/>
        <s v="ST1 -Program 2"/>
        <s v="ST2 - Program 1"/>
        <s v="ST3 - Program 1"/>
        <s v="ST4 - Program 1"/>
        <s v="ST5 - Program 1"/>
      </sharedItems>
    </cacheField>
    <cacheField name="DEMO" numFmtId="0">
      <sharedItems count="3">
        <s v="P18-49"/>
        <s v="P25-54"/>
        <s v="F25-54"/>
      </sharedItems>
    </cacheField>
    <cacheField name="Lst Yr" numFmtId="3">
      <sharedItems containsSemiMixedTypes="0" containsString="0" containsNumber="1" containsInteger="1" minValue="1197" maxValue="14209"/>
    </cacheField>
    <cacheField name="Lst Mnth" numFmtId="3">
      <sharedItems containsSemiMixedTypes="0" containsString="0" containsNumber="1" containsInteger="1" minValue="3428" maxValue="13953"/>
    </cacheField>
    <cacheField name="Currnt" numFmtId="3">
      <sharedItems containsSemiMixedTypes="0" containsString="0" containsNumber="1" containsInteger="1" minValue="3400" maxValue="25134"/>
    </cacheField>
    <cacheField name="BTB" numFmtId="0">
      <sharedItems containsSemiMixedTypes="0" containsString="0" containsNumber="1" minValue="-0.44778301120675656" maxValue="1.755618901436246"/>
    </cacheField>
    <cacheField name="YTY" numFmtId="0">
      <sharedItems containsSemiMixedTypes="0" containsString="0" containsNumber="1" minValue="-0.54563677669383936" maxValue="2.361737677527151"/>
    </cacheField>
  </cacheFields>
  <extLst>
    <ext xmlns:x14="http://schemas.microsoft.com/office/spreadsheetml/2009/9/main" uri="{725AE2AE-9491-48be-B2B4-4EB974FC3084}">
      <x14:pivotCacheDefinition pivotCacheId="1788398826"/>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isy Rivera" refreshedDate="45146.623516203705" createdVersion="5" refreshedVersion="8" minRefreshableVersion="3" recordCount="18" xr:uid="{8F57B57F-1F20-41D1-8EBA-9A0F28DA7CAA}">
  <cacheSource type="worksheet">
    <worksheetSource ref="Y14:AE32" sheet="Late Programs"/>
  </cacheSource>
  <cacheFields count="7">
    <cacheField name="STATION" numFmtId="0">
      <sharedItems count="6">
        <s v="ST1 -Program 1"/>
        <s v="ST1 -Program 2"/>
        <s v="ST2 - Program 1"/>
        <s v="ST3 - Program 1"/>
        <s v="ST4 - Program 1"/>
        <s v="ST5 - Program 1"/>
      </sharedItems>
    </cacheField>
    <cacheField name="DEMO" numFmtId="0">
      <sharedItems count="3">
        <s v="P18-49"/>
        <s v="P25-54"/>
        <s v="F25-54"/>
      </sharedItems>
    </cacheField>
    <cacheField name="Lst Yr" numFmtId="3">
      <sharedItems containsSemiMixedTypes="0" containsString="0" containsNumber="1" minValue="8220.2000000000007" maxValue="19615.2"/>
    </cacheField>
    <cacheField name="Lst Mnth" numFmtId="3">
      <sharedItems containsSemiMixedTypes="0" containsString="0" containsNumber="1" minValue="2056.5" maxValue="17734.900000000001"/>
    </cacheField>
    <cacheField name="Currnt" numFmtId="3">
      <sharedItems containsSemiMixedTypes="0" containsString="0" containsNumber="1" minValue="2829.1" maxValue="16178.4"/>
    </cacheField>
    <cacheField name="BTB" numFmtId="0">
      <sharedItems containsSemiMixedTypes="0" containsString="0" containsNumber="1" minValue="-0.10556120529930485" maxValue="2.2929469359639842"/>
    </cacheField>
    <cacheField name="YTY" numFmtId="0">
      <sharedItems containsSemiMixedTypes="0" containsString="0" containsNumber="1" minValue="-0.71129027529391076" maxValue="-6.8633891747874071E-2"/>
    </cacheField>
  </cacheFields>
  <extLst>
    <ext xmlns:x14="http://schemas.microsoft.com/office/spreadsheetml/2009/9/main" uri="{725AE2AE-9491-48be-B2B4-4EB974FC3084}">
      <x14:pivotCacheDefinition/>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isy Rivera" refreshedDate="45146.623516898151" createdVersion="5" refreshedVersion="8" minRefreshableVersion="3" recordCount="18" xr:uid="{0F56796A-2118-4F5F-A7F7-C8B886543606}">
  <cacheSource type="worksheet">
    <worksheetSource ref="AG14:AM32" sheet="Late Programs"/>
  </cacheSource>
  <cacheFields count="7">
    <cacheField name="STATION" numFmtId="0">
      <sharedItems count="6">
        <s v="ST1 -Program 1"/>
        <s v="ST1 -Program 2"/>
        <s v="ST2 - Program 1"/>
        <s v="ST3 - Program 1"/>
        <s v="ST4 - Program 1"/>
        <s v="ST5 - Program 1"/>
      </sharedItems>
    </cacheField>
    <cacheField name="DEMO" numFmtId="0">
      <sharedItems count="3">
        <s v="P18-49"/>
        <s v="P25-54"/>
        <s v="F25-54"/>
      </sharedItems>
    </cacheField>
    <cacheField name="Lst Yr" numFmtId="164">
      <sharedItems containsSemiMixedTypes="0" containsString="0" containsNumber="1" minValue="10.790512720000001" maxValue="17.337733050000001"/>
    </cacheField>
    <cacheField name="Lst Mnth" numFmtId="164">
      <sharedItems containsSemiMixedTypes="0" containsString="0" containsNumber="1" minValue="2.2945331499999999" maxValue="15.50144454"/>
    </cacheField>
    <cacheField name="Currnt" numFmtId="164">
      <sharedItems containsSemiMixedTypes="0" containsString="0" containsNumber="1" minValue="3.2458451500000001" maxValue="14.14100262"/>
    </cacheField>
    <cacheField name="BTB" numFmtId="0">
      <sharedItems containsSemiMixedTypes="0" containsString="0" containsNumber="1" minValue="-0.10556245002589679" maxValue="2.2929624477002548"/>
    </cacheField>
    <cacheField name="YTY" numFmtId="0">
      <sharedItems containsSemiMixedTypes="0" containsString="0" containsNumber="1" minValue="-0.71449732645653807" maxValue="-7.8984848202915764E-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
  <r>
    <x v="0"/>
    <x v="0"/>
    <n v="0.47074286999999998"/>
    <n v="0.45259497999999998"/>
    <n v="0.52583343000000005"/>
    <n v="0.16181896228720891"/>
    <n v="0.11702898442200531"/>
  </r>
  <r>
    <x v="1"/>
    <x v="0"/>
    <n v="0.28718473"/>
    <n v="0.17475412000000001"/>
    <n v="0.11439468"/>
    <n v="-0.34539637749313157"/>
    <n v="-0.60166865417948934"/>
  </r>
  <r>
    <x v="2"/>
    <x v="0"/>
    <n v="0.38409863"/>
    <n v="0.24537043"/>
    <n v="0.1956252"/>
    <n v="-0.20273522771264654"/>
    <n v="-0.49069019069398917"/>
  </r>
  <r>
    <x v="3"/>
    <x v="0"/>
    <n v="0.32146999999999998"/>
    <n v="0.42087913999999998"/>
    <n v="0.27971040000000003"/>
    <n v="-0.33541396230756404"/>
    <n v="-0.12990201262948317"/>
  </r>
  <r>
    <x v="4"/>
    <x v="0"/>
    <n v="0.55690187999999996"/>
    <n v="0.79895300000000002"/>
    <n v="0.39824635000000003"/>
    <n v="-0.50153970258575908"/>
    <n v="-0.28488955720530151"/>
  </r>
  <r>
    <x v="5"/>
    <x v="0"/>
    <n v="0.17355229999999999"/>
    <n v="9.404063E-2"/>
    <n v="5.6808060000000001E-2"/>
    <n v="-0.39592004009330861"/>
    <n v="-0.6726746922973651"/>
  </r>
  <r>
    <x v="6"/>
    <x v="0"/>
    <n v="0.21179566"/>
    <n v="0.18401215000000001"/>
    <n v="6.3681249999999995E-2"/>
    <n v="-0.65392910196419096"/>
    <n v="-0.69932693616101482"/>
  </r>
  <r>
    <x v="7"/>
    <x v="0"/>
    <n v="8.6884790000000003E-2"/>
    <n v="0.14977470000000001"/>
    <n v="0.13844182999999999"/>
    <n v="-7.566611717466315E-2"/>
    <n v="0.59339546081655925"/>
  </r>
  <r>
    <x v="8"/>
    <x v="0"/>
    <n v="0.19507853999999999"/>
    <n v="0.20470826"/>
    <n v="0.19307994000000001"/>
    <n v="-5.6804351714972307E-2"/>
    <n v="-1.0245104356429925E-2"/>
  </r>
  <r>
    <x v="9"/>
    <x v="0"/>
    <n v="0.24151797999999999"/>
    <n v="5.0589660000000002E-2"/>
    <n v="5.149397E-2"/>
    <n v="1.7875391927915672E-2"/>
    <n v="-0.78679032509298064"/>
  </r>
  <r>
    <x v="10"/>
    <x v="0"/>
    <n v="0.288082"/>
    <n v="0.36824129999999999"/>
    <n v="0.27325243999999999"/>
    <n v="-0.25795276086631241"/>
    <n v="-5.1476871168625669E-2"/>
  </r>
  <r>
    <x v="11"/>
    <x v="0"/>
    <n v="0.32081999999999999"/>
    <n v="0.43962669999999998"/>
    <s v=""/>
    <e v="#VALUE!"/>
    <e v="#VALUE!"/>
  </r>
  <r>
    <x v="12"/>
    <x v="0"/>
    <n v="9.160095E-2"/>
    <n v="3.396267E-2"/>
    <n v="3.2800830000000003E-2"/>
    <n v="-3.4209324531905096E-2"/>
    <n v="-0.64191604999729801"/>
  </r>
  <r>
    <x v="13"/>
    <x v="0"/>
    <n v="0.34909253000000001"/>
    <n v="0.14849908000000001"/>
    <n v="7.9302120000000004E-2"/>
    <n v="-0.46597568146550133"/>
    <n v="-0.77283352353600931"/>
  </r>
  <r>
    <x v="14"/>
    <x v="0"/>
    <n v="0.34208878999999998"/>
    <n v="0.56995814"/>
    <n v="0.46813652"/>
    <n v="-0.17864754067728553"/>
    <n v="0.36846495320703154"/>
  </r>
  <r>
    <x v="15"/>
    <x v="0"/>
    <n v="0.32540000000000002"/>
    <n v="0.28160287000000001"/>
    <n v="0.18436918999999999"/>
    <n v="-0.34528653774018714"/>
    <n v="-0.43340752919483722"/>
  </r>
  <r>
    <x v="0"/>
    <x v="1"/>
    <n v="0.86191302999999997"/>
    <n v="0.60420280000000004"/>
    <n v="0.72961480999999995"/>
    <n v="0.20756608542694588"/>
    <n v="-0.15349369993861217"/>
  </r>
  <r>
    <x v="1"/>
    <x v="1"/>
    <n v="0.49247421000000002"/>
    <n v="0.34059085"/>
    <n v="0.21248550999999999"/>
    <n v="-0.37612678085744233"/>
    <n v="-0.56853474621544142"/>
  </r>
  <r>
    <x v="2"/>
    <x v="1"/>
    <n v="0.62381405000000001"/>
    <n v="0.44789340999999999"/>
    <n v="0.33583593"/>
    <n v="-0.25018782928732974"/>
    <n v="-0.46164096496383816"/>
  </r>
  <r>
    <x v="3"/>
    <x v="1"/>
    <n v="0.54556539000000004"/>
    <n v="0.64420869999999997"/>
    <n v="0.46504915000000002"/>
    <n v="-0.27810793303474474"/>
    <n v="-0.14758311556383738"/>
  </r>
  <r>
    <x v="4"/>
    <x v="1"/>
    <n v="0.70736043999999998"/>
    <n v="1.0565396300000001"/>
    <n v="0.63195210000000002"/>
    <n v="-0.40186616568277711"/>
    <n v="-0.10660525488250371"/>
  </r>
  <r>
    <x v="5"/>
    <x v="1"/>
    <n v="0.19926711999999999"/>
    <n v="0.23827047000000001"/>
    <n v="0.24580055000000001"/>
    <n v="3.1603076957039594E-2"/>
    <n v="0.2335228712092593"/>
  </r>
  <r>
    <x v="6"/>
    <x v="1"/>
    <n v="0.26882983999999999"/>
    <n v="0.34289183000000001"/>
    <n v="0.15577827999999999"/>
    <n v="-0.54569264598692835"/>
    <n v="-0.42053203617574597"/>
  </r>
  <r>
    <x v="7"/>
    <x v="1"/>
    <n v="0.35828281000000001"/>
    <n v="0.38075857000000002"/>
    <n v="0.25332407000000001"/>
    <n v="-0.33468583517371653"/>
    <n v="-0.29294941613302627"/>
  </r>
  <r>
    <x v="8"/>
    <x v="1"/>
    <n v="0.27461099"/>
    <n v="0.31770343000000001"/>
    <n v="0.36247747000000002"/>
    <n v="0.14093030094135281"/>
    <n v="0.31996709235853971"/>
  </r>
  <r>
    <x v="9"/>
    <x v="1"/>
    <n v="0.35438803000000002"/>
    <n v="7.3980969999999993E-2"/>
    <n v="7.3216160000000002E-2"/>
    <n v="-1.0337928794391191E-2"/>
    <n v="-0.79340114845301057"/>
  </r>
  <r>
    <x v="10"/>
    <x v="1"/>
    <n v="0.47609348000000001"/>
    <n v="0.47547348"/>
    <n v="0.3431322"/>
    <n v="-0.27833577595116349"/>
    <n v="-0.27927557420026"/>
  </r>
  <r>
    <x v="11"/>
    <x v="1"/>
    <n v="0.32660512000000003"/>
    <s v=""/>
    <s v=""/>
    <e v="#VALUE!"/>
    <e v="#VALUE!"/>
  </r>
  <r>
    <x v="12"/>
    <x v="1"/>
    <n v="0.56010238999999995"/>
    <n v="4.0263859999999999E-2"/>
    <n v="5.8892399999999998E-2"/>
    <n v="0.46266155306520534"/>
    <n v="-0.89485422477843746"/>
  </r>
  <r>
    <x v="13"/>
    <x v="1"/>
    <n v="0.29797393999999999"/>
    <n v="0.20071621000000001"/>
    <n v="0.10322940999999999"/>
    <n v="-0.48569470298387962"/>
    <n v="-0.65356228803096006"/>
  </r>
  <r>
    <x v="14"/>
    <x v="1"/>
    <n v="0.49184111000000003"/>
    <n v="0.65933005"/>
    <n v="0.52854951999999999"/>
    <n v="-0.19835366217571915"/>
    <n v="7.4634692492459534E-2"/>
  </r>
  <r>
    <x v="15"/>
    <x v="1"/>
    <n v="0.20728421"/>
    <n v="0.40760442000000002"/>
    <n v="0.27576682000000002"/>
    <n v="-0.32344497147503942"/>
    <n v="0.33038025424126627"/>
  </r>
  <r>
    <x v="0"/>
    <x v="2"/>
    <n v="0.88763053000000003"/>
    <n v="0.80122886000000004"/>
    <n v="0.80870710999999995"/>
    <n v="9.3334755814960379E-3"/>
    <n v="-8.891471995673704E-2"/>
  </r>
  <r>
    <x v="1"/>
    <x v="2"/>
    <n v="0.53967847999999996"/>
    <n v="0.45006283000000002"/>
    <n v="0.29870369000000002"/>
    <n v="-0.33630668855723989"/>
    <n v="-0.44651546972930983"/>
  </r>
  <r>
    <x v="2"/>
    <x v="2"/>
    <n v="0.80342608000000004"/>
    <n v="0.55851289999999998"/>
    <n v="0.45252631999999998"/>
    <n v="-0.18976567953936246"/>
    <n v="-0.43675425622230241"/>
  </r>
  <r>
    <x v="3"/>
    <x v="2"/>
    <n v="0.99311676000000004"/>
    <n v="0.81723157999999996"/>
    <n v="0.59574768"/>
    <n v="-0.2710173045442027"/>
    <n v="-0.40012322418161589"/>
  </r>
  <r>
    <x v="4"/>
    <x v="2"/>
    <n v="1.09584284"/>
    <n v="1.4326850099999999"/>
    <n v="0.69938374000000003"/>
    <n v="-0.51183705062985196"/>
    <n v="-0.36178463327825361"/>
  </r>
  <r>
    <x v="5"/>
    <x v="2"/>
    <n v="0.16380502"/>
    <n v="0.22470772999999999"/>
    <n v="0.20512145000000001"/>
    <n v="-8.7163356596588748E-2"/>
    <n v="0.25222932728191122"/>
  </r>
  <r>
    <x v="6"/>
    <x v="2"/>
    <n v="0.24320062000000001"/>
    <n v="0.32624091"/>
    <n v="0.14332563000000001"/>
    <n v="-0.56067548364795816"/>
    <n v="-0.41066914220860123"/>
  </r>
  <r>
    <x v="7"/>
    <x v="2"/>
    <n v="0.20916202"/>
    <n v="0.33205857"/>
    <n v="0.19210448999999999"/>
    <n v="-0.42147407910598428"/>
    <n v="-8.155175590673687E-2"/>
  </r>
  <r>
    <x v="8"/>
    <x v="2"/>
    <n v="0.27986028000000002"/>
    <n v="0.28470263000000001"/>
    <n v="0.31075176999999998"/>
    <n v="9.1495958432136607E-2"/>
    <n v="0.11038183053343606"/>
  </r>
  <r>
    <x v="9"/>
    <x v="2"/>
    <n v="5.6214409999999999E-2"/>
    <n v="6.7431000000000005E-2"/>
    <n v="0.10284965"/>
    <n v="0.52525767080422936"/>
    <n v="0.82959582783133368"/>
  </r>
  <r>
    <x v="10"/>
    <x v="2"/>
    <n v="0.43063905000000002"/>
    <n v="0.60692027999999998"/>
    <n v="0.40919581999999999"/>
    <n v="-0.32578324784269852"/>
    <n v="-4.9793974791649841E-2"/>
  </r>
  <r>
    <x v="11"/>
    <x v="2"/>
    <n v="5.2860160000000003E-2"/>
    <s v=""/>
    <s v=""/>
    <e v="#VALUE!"/>
    <e v="#VALUE!"/>
  </r>
  <r>
    <x v="12"/>
    <x v="2"/>
    <n v="3.7748469999999999E-2"/>
    <n v="2.7185290000000001E-2"/>
    <n v="6.3047119999999998E-2"/>
    <n v="1.319163047368632"/>
    <n v="0.67019007657793817"/>
  </r>
  <r>
    <x v="13"/>
    <x v="2"/>
    <n v="0.11035655"/>
    <n v="0.24428095999999999"/>
    <n v="0.13619585000000001"/>
    <n v="-0.44246227786234338"/>
    <n v="0.23414378213164519"/>
  </r>
  <r>
    <x v="14"/>
    <x v="2"/>
    <n v="0.42132596"/>
    <n v="0.69054645000000003"/>
    <n v="0.47984847000000003"/>
    <n v="-0.30511775131129848"/>
    <n v="0.13890079310565157"/>
  </r>
  <r>
    <x v="15"/>
    <x v="2"/>
    <n v="0.32875262999999999"/>
    <n v="0.46242698999999998"/>
    <n v="0.31168154999999997"/>
    <n v="-0.32598754670439978"/>
    <n v="-5.1926824129133256E-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
  <r>
    <x v="0"/>
    <x v="0"/>
    <n v="8.0908352000000008"/>
    <n v="10.557890329999999"/>
    <n v="10.17025654"/>
    <n v="-3.6715080180227531E-2"/>
    <n v="0.25700947907083799"/>
  </r>
  <r>
    <x v="1"/>
    <x v="0"/>
    <n v="10.73836369"/>
    <n v="8.7284953400000003"/>
    <n v="5.9955596199999999"/>
    <n v="-0.31310502137473795"/>
    <n v="-0.44166915993138617"/>
  </r>
  <r>
    <x v="2"/>
    <x v="0"/>
    <n v="11.57567785"/>
    <n v="10.865604510000001"/>
    <n v="8.5186302400000002"/>
    <n v="-0.21600034014122241"/>
    <n v="-0.2640923192243122"/>
  </r>
  <r>
    <x v="3"/>
    <x v="0"/>
    <n v="13.507984199999999"/>
    <n v="15.83682434"/>
    <n v="12.190296549999999"/>
    <n v="-0.23025625035126204"/>
    <n v="-9.754880006448334E-2"/>
  </r>
  <r>
    <x v="4"/>
    <x v="0"/>
    <n v="11.501864380000001"/>
    <n v="21.169007560000001"/>
    <n v="12.26941927"/>
    <n v="-0.42040649590093493"/>
    <n v="6.6733084710567547E-2"/>
  </r>
  <r>
    <x v="5"/>
    <x v="0"/>
    <n v="0.96980851999999995"/>
    <n v="4.6970751499999999"/>
    <n v="2.9773774999999998"/>
    <n v="-0.36612095720887072"/>
    <n v="2.0700673778366063"/>
  </r>
  <r>
    <x v="6"/>
    <x v="0"/>
    <n v="12.59324765"/>
    <n v="6.1714429099999997"/>
    <n v="2.77534657"/>
    <n v="-0.55029210988844746"/>
    <n v="-0.77961629540414856"/>
  </r>
  <r>
    <x v="7"/>
    <x v="0"/>
    <n v="2.91804701"/>
    <n v="6.63239102"/>
    <n v="6.0285423400000004"/>
    <n v="-9.104539798378769E-2"/>
    <n v="1.0659510691022076"/>
  </r>
  <r>
    <x v="8"/>
    <x v="0"/>
    <n v="7.6047289899999999"/>
    <n v="5.86433874"/>
    <n v="5.9485260599999998"/>
    <n v="1.4355807829750272E-2"/>
    <n v="-0.21778592401883873"/>
  </r>
  <r>
    <x v="9"/>
    <x v="0"/>
    <n v="8.78704529"/>
    <n v="2.2402342200000001"/>
    <n v="2.2423395799999999"/>
    <n v="9.3979458987097962E-4"/>
    <n v="-0.74481301666307909"/>
  </r>
  <r>
    <x v="10"/>
    <x v="0"/>
    <n v="9.5340363299999993"/>
    <n v="10.54911873"/>
    <n v="8.4185297299999995"/>
    <n v="-0.20196843495001601"/>
    <n v="-0.11700255394348806"/>
  </r>
  <r>
    <x v="11"/>
    <x v="0"/>
    <n v="4.5340363300000002"/>
    <n v="1.69634328"/>
    <s v=""/>
    <e v="#VALUE!"/>
    <e v="#VALUE!"/>
  </r>
  <r>
    <x v="12"/>
    <x v="0"/>
    <n v="5.2888112899999999"/>
    <n v="1.69634328"/>
    <n v="1.7191302500000001"/>
    <n v="1.3432994529267727E-2"/>
    <n v="-0.6749495953371405"/>
  </r>
  <r>
    <x v="13"/>
    <x v="0"/>
    <n v="6.1956308499999997"/>
    <n v="5.58771766"/>
    <n v="3.45613299"/>
    <n v="-0.38147680317834815"/>
    <n v="-0.4421660887042681"/>
  </r>
  <r>
    <x v="14"/>
    <x v="0"/>
    <n v="9.2264341299999995"/>
    <n v="13.764736279999999"/>
    <n v="10.880849570000001"/>
    <n v="-0.20951267436850587"/>
    <n v="0.17931255094756757"/>
  </r>
  <r>
    <x v="15"/>
    <x v="0"/>
    <n v="7.7080964500000002"/>
    <n v="9.46779875"/>
    <n v="6.6543280300000003"/>
    <n v="-0.29716207476421058"/>
    <n v="-0.13670929351175931"/>
  </r>
  <r>
    <x v="0"/>
    <x v="1"/>
    <n v="12.08404801"/>
    <n v="10.96507269"/>
    <n v="12.103713750000001"/>
    <n v="0.10384254552534126"/>
    <n v="1.6274132628177676E-3"/>
  </r>
  <r>
    <x v="1"/>
    <x v="1"/>
    <n v="14.959684810000001"/>
    <n v="11.433205259999999"/>
    <n v="8.0359718000000004"/>
    <n v="-0.29713745032510674"/>
    <n v="-0.46282479196164295"/>
  </r>
  <r>
    <x v="2"/>
    <x v="1"/>
    <n v="13.134359099999999"/>
    <n v="13.02064805"/>
    <n v="11.05739103"/>
    <n v="-0.15078028470326407"/>
    <n v="-0.15813242611891123"/>
  </r>
  <r>
    <x v="3"/>
    <x v="1"/>
    <n v="15.75776507"/>
    <n v="12.02064805"/>
    <n v="15.325306579999999"/>
    <n v="0.27491517231469059"/>
    <n v="-2.7444151380535853E-2"/>
  </r>
  <r>
    <x v="4"/>
    <x v="1"/>
    <n v="16.81387651"/>
    <n v="19.038900859999998"/>
    <n v="14.68372349"/>
    <n v="-0.22875151260176257"/>
    <n v="-0.12669017871834007"/>
  </r>
  <r>
    <x v="5"/>
    <x v="1"/>
    <n v="4.3997634799999998"/>
    <n v="7.9984390400000001"/>
    <n v="9.2959103600000006"/>
    <n v="0.16221556650133581"/>
    <n v="1.1128204737041913"/>
  </r>
  <r>
    <x v="6"/>
    <x v="1"/>
    <n v="4.8825318199999996"/>
    <n v="9.0877554099999998"/>
    <n v="5.1335431199999997"/>
    <n v="-0.43511429518105837"/>
    <n v="5.1410069458594963E-2"/>
  </r>
  <r>
    <x v="7"/>
    <x v="1"/>
    <n v="4.37897508"/>
    <n v="11.06898015"/>
    <n v="8.3406898700000003"/>
    <n v="-0.24648072749502578"/>
    <n v="0.90471279640166402"/>
  </r>
  <r>
    <x v="8"/>
    <x v="1"/>
    <n v="4.46673937"/>
    <n v="6.3264364799999999"/>
    <n v="8.4223454800000006"/>
    <n v="0.33129377124481946"/>
    <n v="0.88556904317432794"/>
  </r>
  <r>
    <x v="9"/>
    <x v="1"/>
    <n v="4.4703115100000002"/>
    <n v="2.1506906400000001"/>
    <n v="2.4106405999999998"/>
    <n v="0.12086813192249708"/>
    <n v="-0.46074438110018878"/>
  </r>
  <r>
    <x v="10"/>
    <x v="1"/>
    <n v="5.78915164"/>
    <n v="9.4681156600000005"/>
    <n v="7.9728484100000001"/>
    <n v="-0.15792659317809815"/>
    <n v="0.37720496988052643"/>
  </r>
  <r>
    <x v="11"/>
    <x v="1"/>
    <n v="0.94331202999999997"/>
    <s v=""/>
    <s v=""/>
    <e v="#VALUE!"/>
    <e v="#VALUE!"/>
  </r>
  <r>
    <x v="12"/>
    <x v="1"/>
    <n v="1.9514317800000001"/>
    <n v="1.3516071000000001"/>
    <n v="2.2272467699999998"/>
    <n v="0.647850747454641"/>
    <n v="0.14133980640614541"/>
  </r>
  <r>
    <x v="13"/>
    <x v="1"/>
    <n v="4.1390624799999998"/>
    <n v="5.3196362800000001"/>
    <n v="3.4018391399999999"/>
    <n v="-0.36051283190361283"/>
    <n v="-0.17811360508865764"/>
  </r>
  <r>
    <x v="14"/>
    <x v="1"/>
    <n v="6.4002691"/>
    <n v="11.88850542"/>
    <n v="10.026556530000001"/>
    <n v="-0.15661757506268598"/>
    <n v="0.56658358786820395"/>
  </r>
  <r>
    <x v="15"/>
    <x v="1"/>
    <n v="7.34270947"/>
    <n v="9.4480453700000009"/>
    <n v="7.5144692800000001"/>
    <n v="-0.2046535568234682"/>
    <n v="2.3391884249507177E-2"/>
  </r>
  <r>
    <x v="0"/>
    <x v="2"/>
    <n v="11.75902831"/>
    <n v="13.32854212"/>
    <n v="13.07097701"/>
    <n v="-1.9324327273086625E-2"/>
    <n v="0.11156948222365495"/>
  </r>
  <r>
    <x v="1"/>
    <x v="2"/>
    <n v="15.760672359999999"/>
    <n v="13.052896069999999"/>
    <n v="9.8730363400000005"/>
    <n v="-0.24361334932470652"/>
    <n v="-0.37356502854171375"/>
  </r>
  <r>
    <x v="2"/>
    <x v="2"/>
    <n v="21.017589600000001"/>
    <n v="14.25415933"/>
    <n v="13.132650440000001"/>
    <n v="-7.8679413077670388E-2"/>
    <n v="-0.37515906010458971"/>
  </r>
  <r>
    <x v="3"/>
    <x v="2"/>
    <n v="24.14284434"/>
    <n v="18.32970173"/>
    <n v="16.668915640000002"/>
    <n v="-9.060628014921869E-2"/>
    <n v="-0.30957117540691553"/>
  </r>
  <r>
    <x v="4"/>
    <x v="2"/>
    <n v="21.278132029999998"/>
    <n v="25.00080556"/>
    <n v="14.224721280000001"/>
    <n v="-0.4310294823956064"/>
    <n v="-0.33148637014073451"/>
  </r>
  <r>
    <x v="5"/>
    <x v="2"/>
    <n v="4.7837319799999998"/>
    <n v="6.5170603600000003"/>
    <n v="6.7798679100000001"/>
    <n v="4.0326088064650017E-2"/>
    <n v="0.41727587129578286"/>
  </r>
  <r>
    <x v="6"/>
    <x v="2"/>
    <n v="5.9122501400000003"/>
    <n v="7.3172633200000003"/>
    <n v="4.0102261500000003"/>
    <n v="-0.45195000171184219"/>
    <n v="-0.32170898472844384"/>
  </r>
  <r>
    <x v="7"/>
    <x v="2"/>
    <n v="5.4716688600000003"/>
    <n v="8.4746758799999995"/>
    <n v="5.5750152599999998"/>
    <n v="-0.34215593151392593"/>
    <n v="1.8887546495275208E-2"/>
  </r>
  <r>
    <x v="8"/>
    <x v="2"/>
    <n v="5.4340857900000001"/>
    <n v="4.9681508399999998"/>
    <n v="6.32036044"/>
    <n v="0.27217563305706721"/>
    <n v="0.16309544682400015"/>
  </r>
  <r>
    <x v="9"/>
    <x v="2"/>
    <n v="1.4705662799999999"/>
    <n v="1.72094901"/>
    <n v="2.9847735200000001"/>
    <n v="0.73437649962679608"/>
    <n v="1.0296762958552268"/>
  </r>
  <r>
    <x v="10"/>
    <x v="2"/>
    <n v="8.3617779399999996"/>
    <n v="10.59095046"/>
    <n v="8.3226076399999993"/>
    <n v="-0.21417745541980382"/>
    <n v="-4.68444633199627E-3"/>
  </r>
  <r>
    <x v="11"/>
    <x v="2"/>
    <n v="0.76725038999999995"/>
    <s v=""/>
    <s v=""/>
    <e v="#VALUE!"/>
    <e v="#VALUE!"/>
  </r>
  <r>
    <x v="12"/>
    <x v="2"/>
    <n v="1.1023995600000001"/>
    <n v="0.78843841999999997"/>
    <n v="2.08389281"/>
    <n v="1.6430635001272518"/>
    <n v="0.89032442102934073"/>
  </r>
  <r>
    <x v="13"/>
    <x v="2"/>
    <n v="2.6827873000000002"/>
    <n v="5.4789821600000002"/>
    <n v="3.8107359999999999"/>
    <n v="-0.30448103521475972"/>
    <n v="0.4204391082364225"/>
  </r>
  <r>
    <x v="14"/>
    <x v="2"/>
    <n v="6.6210593400000004"/>
    <n v="10.649653519999999"/>
    <n v="8.2162191500000006"/>
    <n v="-0.22849892397250487"/>
    <n v="0.24092214373659429"/>
  </r>
  <r>
    <x v="15"/>
    <x v="2"/>
    <n v="7.2109427200000003"/>
    <n v="9.3241277100000008"/>
    <n v="7.3975765600000001"/>
    <n v="-0.20661998740469853"/>
    <n v="2.5882030581432746E-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
  <r>
    <x v="0"/>
    <x v="0"/>
    <n v="5587"/>
    <n v="5668"/>
    <n v="6585"/>
    <n v="0.16178546224417784"/>
    <n v="0.17862896008591372"/>
  </r>
  <r>
    <x v="1"/>
    <x v="0"/>
    <n v="3753"/>
    <n v="2189"/>
    <n v="1433"/>
    <n v="-0.34536317953403378"/>
    <n v="-0.61817212896349583"/>
  </r>
  <r>
    <x v="2"/>
    <x v="0"/>
    <n v="7765"/>
    <n v="3073"/>
    <n v="2450"/>
    <n v="-0.20273348519362186"/>
    <n v="-0.68448164842240822"/>
  </r>
  <r>
    <x v="3"/>
    <x v="0"/>
    <n v="4977"/>
    <n v="5271"/>
    <n v="3503"/>
    <n v="-0.33542022386643899"/>
    <n v="-0.29616234679525821"/>
  </r>
  <r>
    <x v="4"/>
    <x v="0"/>
    <n v="4653"/>
    <n v="9254"/>
    <n v="4987"/>
    <n v="-0.46109790360925007"/>
    <n v="7.1781646249731351E-2"/>
  </r>
  <r>
    <x v="5"/>
    <x v="0"/>
    <n v="1215"/>
    <n v="1178"/>
    <n v="711"/>
    <n v="-0.39643463497453313"/>
    <n v="-0.4148148148148148"/>
  </r>
  <r>
    <x v="6"/>
    <x v="0"/>
    <n v="1583"/>
    <n v="2054"/>
    <n v="798"/>
    <n v="-0.61148977604673804"/>
    <n v="-0.49589387239418825"/>
  </r>
  <r>
    <x v="7"/>
    <x v="0"/>
    <n v="980"/>
    <n v="1876"/>
    <n v="1734"/>
    <n v="-7.5692963752665252E-2"/>
    <n v="0.76938775510204083"/>
  </r>
  <r>
    <x v="8"/>
    <x v="0"/>
    <n v="2795"/>
    <n v="2564"/>
    <n v="2418"/>
    <n v="-5.6942277691107643E-2"/>
    <n v="-0.13488372093023257"/>
  </r>
  <r>
    <x v="9"/>
    <x v="0"/>
    <n v="914"/>
    <n v="634"/>
    <n v="645"/>
    <n v="1.7350157728706624E-2"/>
    <n v="-0.29431072210065645"/>
  </r>
  <r>
    <x v="10"/>
    <x v="0"/>
    <n v="4961"/>
    <n v="4612"/>
    <n v="3422"/>
    <n v="-0.25802254986990458"/>
    <n v="-0.31021971376738561"/>
  </r>
  <r>
    <x v="11"/>
    <x v="0"/>
    <n v="4561"/>
    <n v="425"/>
    <s v=""/>
    <e v="#VALUE!"/>
    <e v="#VALUE!"/>
  </r>
  <r>
    <x v="12"/>
    <x v="0"/>
    <n v="738"/>
    <n v="425"/>
    <n v="411"/>
    <n v="-3.2941176470588238E-2"/>
    <n v="-0.44308943089430897"/>
  </r>
  <r>
    <x v="13"/>
    <x v="0"/>
    <n v="2845"/>
    <n v="1860"/>
    <n v="993"/>
    <n v="-0.46612903225806451"/>
    <n v="-0.65096660808435858"/>
  </r>
  <r>
    <x v="14"/>
    <x v="0"/>
    <n v="4149"/>
    <n v="7138"/>
    <n v="5863"/>
    <n v="-0.1786214625945643"/>
    <n v="0.41311159315497709"/>
  </r>
  <r>
    <x v="15"/>
    <x v="0"/>
    <n v="2968"/>
    <n v="3527"/>
    <n v="2309"/>
    <n v="-0.34533597958605045"/>
    <n v="-0.22203504043126684"/>
  </r>
  <r>
    <x v="0"/>
    <x v="1"/>
    <n v="8620"/>
    <n v="6913"/>
    <n v="8347"/>
    <n v="0.207435266888471"/>
    <n v="-3.1670533642691415E-2"/>
  </r>
  <r>
    <x v="1"/>
    <x v="1"/>
    <n v="5459"/>
    <n v="3897"/>
    <n v="2431"/>
    <n v="-0.37618681036694895"/>
    <n v="-0.55468034438541858"/>
  </r>
  <r>
    <x v="2"/>
    <x v="1"/>
    <n v="7171"/>
    <n v="5124"/>
    <n v="3842"/>
    <n v="-0.25019516003122561"/>
    <n v="-0.46423093013526706"/>
  </r>
  <r>
    <x v="3"/>
    <x v="1"/>
    <n v="7304"/>
    <n v="7370"/>
    <n v="5321"/>
    <n v="-0.27801899592944368"/>
    <n v="-0.2714950711938664"/>
  </r>
  <r>
    <x v="4"/>
    <x v="1"/>
    <n v="9021"/>
    <n v="12088"/>
    <n v="7230"/>
    <n v="-0.40188616810059563"/>
    <n v="-0.19853674758895909"/>
  </r>
  <r>
    <x v="5"/>
    <x v="1"/>
    <n v="1689"/>
    <n v="2726"/>
    <n v="2812"/>
    <n v="3.1548055759354363E-2"/>
    <n v="0.66489046773238603"/>
  </r>
  <r>
    <x v="6"/>
    <x v="1"/>
    <n v="1910"/>
    <n v="3923"/>
    <n v="1782"/>
    <n v="-0.54575579913331629"/>
    <n v="-6.7015706806282729E-2"/>
  </r>
  <r>
    <x v="7"/>
    <x v="1"/>
    <n v="1791"/>
    <n v="4356"/>
    <n v="2898"/>
    <n v="-0.33471074380165289"/>
    <n v="0.61809045226130654"/>
  </r>
  <r>
    <x v="8"/>
    <x v="1"/>
    <n v="2428"/>
    <n v="3635"/>
    <n v="4147"/>
    <n v="0.14085281980742778"/>
    <n v="0.70799011532125211"/>
  </r>
  <r>
    <x v="9"/>
    <x v="1"/>
    <n v="615"/>
    <n v="846"/>
    <n v="838"/>
    <n v="-9.4562647754137114E-3"/>
    <n v="0.36260162601626017"/>
  </r>
  <r>
    <x v="10"/>
    <x v="1"/>
    <n v="4255"/>
    <n v="5440"/>
    <n v="3926"/>
    <n v="-0.27830882352941178"/>
    <n v="-7.7320799059929501E-2"/>
  </r>
  <r>
    <x v="11"/>
    <x v="1"/>
    <n v="301"/>
    <s v=""/>
    <s v=""/>
    <e v="#VALUE!"/>
    <e v="#VALUE!"/>
  </r>
  <r>
    <x v="12"/>
    <x v="1"/>
    <n v="680"/>
    <n v="461"/>
    <n v="674"/>
    <n v="0.46203904555314534"/>
    <n v="-8.8235294117647058E-3"/>
  </r>
  <r>
    <x v="13"/>
    <x v="1"/>
    <n v="2240"/>
    <n v="2296"/>
    <n v="1181"/>
    <n v="-0.48562717770034841"/>
    <n v="-0.47276785714285713"/>
  </r>
  <r>
    <x v="14"/>
    <x v="1"/>
    <n v="4433"/>
    <n v="7543"/>
    <n v="6047"/>
    <n v="-0.19832957709134297"/>
    <n v="0.36408752537784794"/>
  </r>
  <r>
    <x v="15"/>
    <x v="1"/>
    <n v="3476"/>
    <n v="4663"/>
    <n v="3155"/>
    <n v="-0.32339695475016084"/>
    <n v="-9.2347525891829693E-2"/>
  </r>
  <r>
    <x v="0"/>
    <x v="2"/>
    <n v="5054"/>
    <n v="4610"/>
    <n v="4653"/>
    <n v="9.3275488069414318E-3"/>
    <n v="-7.934309457855164E-2"/>
  </r>
  <r>
    <x v="1"/>
    <x v="2"/>
    <n v="3073"/>
    <n v="2590"/>
    <n v="1719"/>
    <n v="-0.33629343629343628"/>
    <n v="-0.44061178001952489"/>
  </r>
  <r>
    <x v="2"/>
    <x v="2"/>
    <n v="4575"/>
    <n v="3214"/>
    <n v="2604"/>
    <n v="-0.1897946484131923"/>
    <n v="-0.43081967213114752"/>
  </r>
  <r>
    <x v="3"/>
    <x v="2"/>
    <n v="5655"/>
    <n v="4702"/>
    <n v="3428"/>
    <n v="-0.27094853253934498"/>
    <n v="-0.39381078691423521"/>
  </r>
  <r>
    <x v="4"/>
    <x v="2"/>
    <n v="6240"/>
    <n v="8244"/>
    <n v="4024"/>
    <n v="-0.51188743328481323"/>
    <n v="-0.35512820512820514"/>
  </r>
  <r>
    <x v="5"/>
    <x v="2"/>
    <n v="933"/>
    <n v="1293"/>
    <n v="1180"/>
    <n v="-8.7393658159319418E-2"/>
    <n v="0.26473740621650588"/>
  </r>
  <r>
    <x v="6"/>
    <x v="2"/>
    <n v="1385"/>
    <n v="1877"/>
    <n v="825"/>
    <n v="-0.56046883324453911"/>
    <n v="-0.40433212996389889"/>
  </r>
  <r>
    <x v="7"/>
    <x v="2"/>
    <n v="1191"/>
    <n v="1911"/>
    <n v="1105"/>
    <n v="-0.42176870748299322"/>
    <n v="-7.2208228379513018E-2"/>
  </r>
  <r>
    <x v="8"/>
    <x v="2"/>
    <n v="1594"/>
    <n v="1638"/>
    <n v="1788"/>
    <n v="9.1575091575091569E-2"/>
    <n v="0.12170639899623588"/>
  </r>
  <r>
    <x v="9"/>
    <x v="2"/>
    <n v="320"/>
    <n v="388"/>
    <n v="592"/>
    <n v="0.52577319587628868"/>
    <n v="0.85"/>
  </r>
  <r>
    <x v="10"/>
    <x v="2"/>
    <n v="2452"/>
    <n v="3492"/>
    <n v="2355"/>
    <n v="-0.32560137457044674"/>
    <n v="-3.9559543230016314E-2"/>
  </r>
  <r>
    <x v="11"/>
    <x v="2"/>
    <n v="301"/>
    <s v=""/>
    <s v=""/>
    <e v="#VALUE!"/>
    <e v="#VALUE!"/>
  </r>
  <r>
    <x v="12"/>
    <x v="2"/>
    <n v="215"/>
    <n v="156"/>
    <n v="363"/>
    <n v="1.3269230769230769"/>
    <n v="0.68837209302325586"/>
  </r>
  <r>
    <x v="13"/>
    <x v="2"/>
    <n v="628"/>
    <n v="1406"/>
    <n v="784"/>
    <n v="-0.44238975817923187"/>
    <n v="0.24840764331210191"/>
  </r>
  <r>
    <x v="14"/>
    <x v="2"/>
    <n v="2399"/>
    <n v="3973"/>
    <n v="2761"/>
    <n v="-0.30505914925748806"/>
    <n v="0.15089620675281368"/>
  </r>
  <r>
    <x v="15"/>
    <x v="2"/>
    <n v="1872"/>
    <n v="2661"/>
    <n v="1793"/>
    <n v="-0.32619316046599023"/>
    <n v="-4.2200854700854704E-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
  <r>
    <x v="0"/>
    <x v="0"/>
    <n v="5968.9"/>
    <n v="4368.5"/>
    <n v="6474.9"/>
    <n v="0.48217923772461935"/>
    <n v="8.4772738695572059E-2"/>
  </r>
  <r>
    <x v="1"/>
    <x v="0"/>
    <n v="3789.3"/>
    <n v="2907.3"/>
    <n v="2389.4"/>
    <n v="-0.1781377910776322"/>
    <n v="-0.36943498799250524"/>
  </r>
  <r>
    <x v="2"/>
    <x v="0"/>
    <n v="3874.4"/>
    <n v="2828.1"/>
    <n v="2875.9"/>
    <n v="1.6901806866801098E-2"/>
    <n v="-0.25771732397274416"/>
  </r>
  <r>
    <x v="3"/>
    <x v="0"/>
    <n v="3411.3"/>
    <n v="3328.2"/>
    <n v="2873.5"/>
    <n v="-0.1366203954089297"/>
    <n v="-0.15765250784158535"/>
  </r>
  <r>
    <x v="4"/>
    <x v="0"/>
    <n v="4898.1000000000004"/>
    <n v="4571.6000000000004"/>
    <n v="4064.9"/>
    <n v="-0.11083646863242634"/>
    <n v="-0.17010677609685393"/>
  </r>
  <r>
    <x v="5"/>
    <x v="0"/>
    <n v="3789.3"/>
    <n v="2507.3000000000002"/>
    <n v="2389.4"/>
    <n v="-4.7022693734295892E-2"/>
    <n v="-0.36943498799250524"/>
  </r>
  <r>
    <x v="6"/>
    <x v="0"/>
    <n v="2011.3"/>
    <n v="3328.2"/>
    <n v="2873.5"/>
    <n v="-0.1366203954089297"/>
    <n v="0.42867796947248049"/>
  </r>
  <r>
    <x v="7"/>
    <x v="0"/>
    <n v="2574.4"/>
    <n v="2828.1"/>
    <n v="2875.9"/>
    <n v="1.6901806866801098E-2"/>
    <n v="0.11711466749533872"/>
  </r>
  <r>
    <x v="8"/>
    <x v="0"/>
    <n v="3398.1"/>
    <n v="4371.6000000000004"/>
    <n v="4064.9"/>
    <n v="-7.0157379449171983E-2"/>
    <n v="0.19622730349312859"/>
  </r>
  <r>
    <x v="9"/>
    <x v="0"/>
    <n v="3874.4"/>
    <n v="2828.1"/>
    <n v="2875.9"/>
    <n v="1.6901806866801098E-2"/>
    <n v="-0.25771732397274416"/>
  </r>
  <r>
    <x v="10"/>
    <x v="0"/>
    <n v="2898.1"/>
    <n v="3371.6"/>
    <n v="4064.9"/>
    <n v="0.20562937477755375"/>
    <n v="0.4026086056381768"/>
  </r>
  <r>
    <x v="11"/>
    <x v="0"/>
    <n v="2670.8"/>
    <n v="2507.3000000000002"/>
    <s v=""/>
    <e v="#VALUE!"/>
    <e v="#VALUE!"/>
  </r>
  <r>
    <x v="12"/>
    <x v="0"/>
    <n v="2589.3000000000002"/>
    <n v="2507.3000000000002"/>
    <n v="2389.4"/>
    <n v="-4.7022693734295892E-2"/>
    <n v="-7.7202332676785265E-2"/>
  </r>
  <r>
    <x v="13"/>
    <x v="0"/>
    <n v="3911.3"/>
    <n v="3328.2"/>
    <n v="2873.5"/>
    <n v="-0.1366203954089297"/>
    <n v="-0.2653337764937489"/>
  </r>
  <r>
    <x v="14"/>
    <x v="0"/>
    <n v="2994.5"/>
    <n v="5185.5"/>
    <n v="5388"/>
    <n v="3.905120046282904E-2"/>
    <n v="0.79929871430956756"/>
  </r>
  <r>
    <x v="15"/>
    <x v="0"/>
    <n v="3520.5"/>
    <n v="3724.8"/>
    <n v="3469.8"/>
    <n v="-6.8460051546391745E-2"/>
    <n v="-1.4401363442692747E-2"/>
  </r>
  <r>
    <x v="0"/>
    <x v="1"/>
    <n v="7776.9"/>
    <n v="6421.3"/>
    <n v="6896.5"/>
    <n v="7.4003706414588921E-2"/>
    <n v="-0.11320706193984746"/>
  </r>
  <r>
    <x v="1"/>
    <x v="1"/>
    <n v="3882.4"/>
    <n v="3408.2"/>
    <n v="3025.1"/>
    <n v="-0.11240537527140423"/>
    <n v="-0.22081702039975276"/>
  </r>
  <r>
    <x v="2"/>
    <x v="1"/>
    <n v="4185"/>
    <n v="3935.5"/>
    <n v="3474.8"/>
    <n v="-0.11706263498920082"/>
    <n v="-0.16970131421744319"/>
  </r>
  <r>
    <x v="3"/>
    <x v="1"/>
    <n v="4358.3999999999996"/>
    <n v="4316.7"/>
    <n v="3471.7"/>
    <n v="-0.19575138415919568"/>
    <n v="-0.20344621879588837"/>
  </r>
  <r>
    <x v="4"/>
    <x v="1"/>
    <n v="5462.7"/>
    <n v="5745.4"/>
    <n v="4923.8"/>
    <n v="-0.14300135760782531"/>
    <n v="-9.865085031211665E-2"/>
  </r>
  <r>
    <x v="5"/>
    <x v="1"/>
    <n v="3882.4"/>
    <n v="3408.2"/>
    <n v="3025.1"/>
    <n v="-0.11240537527140423"/>
    <n v="-0.22081702039975276"/>
  </r>
  <r>
    <x v="6"/>
    <x v="1"/>
    <n v="4358.3999999999996"/>
    <n v="4316.7"/>
    <n v="3471.7"/>
    <n v="-0.19575138415919568"/>
    <n v="-0.20344621879588837"/>
  </r>
  <r>
    <x v="7"/>
    <x v="1"/>
    <n v="4185"/>
    <n v="3935.5"/>
    <n v="3474.8"/>
    <n v="-0.11706263498920082"/>
    <n v="-0.16970131421744319"/>
  </r>
  <r>
    <x v="8"/>
    <x v="1"/>
    <n v="5462.7"/>
    <n v="5745.4"/>
    <n v="4923.8"/>
    <n v="-0.14300135760782531"/>
    <n v="-9.865085031211665E-2"/>
  </r>
  <r>
    <x v="9"/>
    <x v="1"/>
    <n v="4185"/>
    <n v="3935.5"/>
    <n v="3474.8"/>
    <n v="-0.11706263498920082"/>
    <n v="-0.16970131421744319"/>
  </r>
  <r>
    <x v="10"/>
    <x v="1"/>
    <n v="5462.7"/>
    <n v="5745.4"/>
    <n v="4923.8"/>
    <n v="-0.14300135760782531"/>
    <n v="-9.865085031211665E-2"/>
  </r>
  <r>
    <x v="11"/>
    <x v="1"/>
    <n v="6789.8"/>
    <s v=""/>
    <s v=""/>
    <e v="#VALUE!"/>
    <e v="#VALUE!"/>
  </r>
  <r>
    <x v="12"/>
    <x v="1"/>
    <n v="3882.4"/>
    <n v="3408.2"/>
    <n v="3025.1"/>
    <n v="-0.11240537527140423"/>
    <n v="-0.22081702039975276"/>
  </r>
  <r>
    <x v="13"/>
    <x v="1"/>
    <n v="4358.3999999999996"/>
    <n v="4316.7"/>
    <n v="3471.7"/>
    <n v="-0.19575138415919568"/>
    <n v="-0.20344621879588837"/>
  </r>
  <r>
    <x v="14"/>
    <x v="1"/>
    <n v="6519.1"/>
    <n v="6345"/>
    <n v="6031"/>
    <n v="-4.9487785657998426E-2"/>
    <n v="-7.4872298323388251E-2"/>
  </r>
  <r>
    <x v="15"/>
    <x v="1"/>
    <n v="4867.2"/>
    <n v="4935.7"/>
    <n v="4198.6000000000004"/>
    <n v="-0.14934051907530838"/>
    <n v="-0.13736850756081515"/>
  </r>
  <r>
    <x v="0"/>
    <x v="2"/>
    <n v="4298.3"/>
    <n v="3459"/>
    <n v="3560"/>
    <n v="2.9199190517490606E-2"/>
    <n v="-0.17176558174161882"/>
  </r>
  <r>
    <x v="1"/>
    <x v="2"/>
    <n v="1949.8"/>
    <n v="1984"/>
    <n v="1740.9"/>
    <n v="-0.12253024193548383"/>
    <n v="-0.10713919376346286"/>
  </r>
  <r>
    <x v="2"/>
    <x v="2"/>
    <n v="2176.6999999999998"/>
    <n v="2254.6"/>
    <n v="1982.7"/>
    <n v="-0.12059788876075574"/>
    <n v="-8.9125740800293923E-2"/>
  </r>
  <r>
    <x v="3"/>
    <x v="2"/>
    <n v="2342.3000000000002"/>
    <n v="2565.4"/>
    <n v="2056.5"/>
    <n v="-0.19837062446402123"/>
    <n v="-0.12201682107330408"/>
  </r>
  <r>
    <x v="4"/>
    <x v="2"/>
    <n v="2932.6"/>
    <n v="3297.4"/>
    <n v="2829.1"/>
    <n v="-0.14202098623157644"/>
    <n v="-3.5292914137625316E-2"/>
  </r>
  <r>
    <x v="5"/>
    <x v="2"/>
    <n v="1949.8"/>
    <n v="1984"/>
    <n v="1740.9"/>
    <n v="-0.12253024193548383"/>
    <n v="-0.10713919376346286"/>
  </r>
  <r>
    <x v="6"/>
    <x v="2"/>
    <n v="2342.3000000000002"/>
    <n v="2565.4"/>
    <n v="2056.5"/>
    <n v="-0.19837062446402123"/>
    <n v="-0.12201682107330408"/>
  </r>
  <r>
    <x v="7"/>
    <x v="2"/>
    <n v="2176.6999999999998"/>
    <n v="2254.6"/>
    <n v="1982.7"/>
    <n v="-0.12059788876075574"/>
    <n v="-8.9125740800293923E-2"/>
  </r>
  <r>
    <x v="8"/>
    <x v="2"/>
    <n v="2932.6"/>
    <n v="3297.4"/>
    <n v="2829.1"/>
    <n v="-0.14202098623157644"/>
    <n v="-3.5292914137625316E-2"/>
  </r>
  <r>
    <x v="9"/>
    <x v="2"/>
    <n v="2176.6999999999998"/>
    <n v="2254.6"/>
    <n v="1982.7"/>
    <n v="-0.12059788876075574"/>
    <n v="-8.9125740800293923E-2"/>
  </r>
  <r>
    <x v="10"/>
    <x v="2"/>
    <n v="2932.6"/>
    <n v="3297.4"/>
    <n v="2829.1"/>
    <n v="-0.14202098623157644"/>
    <n v="-3.5292914137625316E-2"/>
  </r>
  <r>
    <x v="11"/>
    <x v="2"/>
    <n v="3923.1"/>
    <s v=""/>
    <s v=""/>
    <e v="#VALUE!"/>
    <e v="#VALUE!"/>
  </r>
  <r>
    <x v="12"/>
    <x v="2"/>
    <n v="1949.8"/>
    <n v="1984"/>
    <n v="1740.9"/>
    <n v="-0.12253024193548383"/>
    <n v="-0.10713919376346286"/>
  </r>
  <r>
    <x v="13"/>
    <x v="2"/>
    <n v="2342.3000000000002"/>
    <n v="2565.4"/>
    <n v="2056.5"/>
    <n v="-0.19837062446402123"/>
    <n v="-0.12201682107330408"/>
  </r>
  <r>
    <x v="14"/>
    <x v="2"/>
    <n v="3623.5"/>
    <n v="3731"/>
    <n v="3360.5"/>
    <n v="-9.9303135888501745E-2"/>
    <n v="-7.2581757968814678E-2"/>
  </r>
  <r>
    <x v="15"/>
    <x v="2"/>
    <n v="2596.1"/>
    <n v="2853.7"/>
    <n v="2424.3000000000002"/>
    <n v="-0.1504713179381153"/>
    <n v="-6.6176187357959909E-2"/>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
  <r>
    <x v="0"/>
    <x v="0"/>
    <n v="4.2284795500000003"/>
    <n v="4.2867936799999997"/>
    <n v="5.1703064100000002"/>
    <n v="0.20610106199466091"/>
    <n v="0.22273416457695766"/>
  </r>
  <r>
    <x v="1"/>
    <x v="0"/>
    <n v="2.9544868200000001"/>
    <n v="2.5021104599999999"/>
    <n v="1.90798998"/>
    <n v="-0.23744774241501712"/>
    <n v="-0.3542059598695384"/>
  </r>
  <r>
    <x v="2"/>
    <x v="0"/>
    <n v="3.3232752900000002"/>
    <n v="2.2582308499999999"/>
    <n v="2.2964395999999998"/>
    <n v="1.6919771510516698E-2"/>
    <n v="-0.30898303643090619"/>
  </r>
  <r>
    <x v="3"/>
    <x v="0"/>
    <n v="2.4939131200000002"/>
    <n v="2.6575981099999999"/>
    <n v="2.2945331499999999"/>
    <n v="-0.1366139442355338"/>
    <n v="-7.9946638237341758E-2"/>
  </r>
  <r>
    <x v="4"/>
    <x v="0"/>
    <n v="3.9506423599999998"/>
    <n v="3.4907304899999998"/>
    <n v="3.2458451500000001"/>
    <n v="-7.0153035504038508E-2"/>
    <n v="-0.17840066140535174"/>
  </r>
  <r>
    <x v="5"/>
    <x v="0"/>
    <n v="3.2544868199999999"/>
    <n v="2.0021104599999999"/>
    <n v="1.90798998"/>
    <n v="-4.7010632969771288E-2"/>
    <n v="-0.41373553327218576"/>
  </r>
  <r>
    <x v="6"/>
    <x v="0"/>
    <n v="2.9339131200000002"/>
    <n v="2.6575981099999999"/>
    <n v="2.2945331499999999"/>
    <n v="-0.1366139442355338"/>
    <n v="-0.21792736998292581"/>
  </r>
  <r>
    <x v="7"/>
    <x v="0"/>
    <n v="2.8232752900000002"/>
    <n v="2.2582308499999999"/>
    <n v="2.2964395999999998"/>
    <n v="1.6919771510516698E-2"/>
    <n v="-0.1866044348796041"/>
  </r>
  <r>
    <x v="8"/>
    <x v="0"/>
    <n v="2.15064236"/>
    <n v="3.4907304899999998"/>
    <n v="3.2458451500000001"/>
    <n v="-7.0153035504038508E-2"/>
    <n v="0.5092444984669604"/>
  </r>
  <r>
    <x v="9"/>
    <x v="0"/>
    <n v="2.9232752899999999"/>
    <n v="2.2582308499999999"/>
    <n v="2.2964395999999998"/>
    <n v="1.6919771510516698E-2"/>
    <n v="-0.21442923700832844"/>
  </r>
  <r>
    <x v="10"/>
    <x v="0"/>
    <n v="3.1606423600000002"/>
    <n v="3.4907304899999998"/>
    <n v="3.2458451500000001"/>
    <n v="-7.0153035504038508E-2"/>
    <n v="2.6957428362758468E-2"/>
  </r>
  <r>
    <x v="11"/>
    <x v="0"/>
    <n v="3.5834057399999999"/>
    <n v="2.0021104599999999"/>
    <s v=""/>
    <e v="#VALUE!"/>
    <e v="#VALUE!"/>
  </r>
  <r>
    <x v="12"/>
    <x v="0"/>
    <n v="2.9544868200000001"/>
    <n v="2.0021104599999999"/>
    <n v="1.90798998"/>
    <n v="-4.7010632969771288E-2"/>
    <n v="-0.3542059598695384"/>
  </r>
  <r>
    <x v="13"/>
    <x v="0"/>
    <n v="2.9339131200000002"/>
    <n v="2.6575981099999999"/>
    <n v="2.2945331499999999"/>
    <n v="-0.1366139442355338"/>
    <n v="-0.21792736998292581"/>
  </r>
  <r>
    <x v="14"/>
    <x v="0"/>
    <n v="3.0368498100000001"/>
    <n v="4.1407124"/>
    <n v="4.3023894"/>
    <n v="3.9045696581100409E-2"/>
    <n v="0.41672775052382321"/>
  </r>
  <r>
    <x v="15"/>
    <x v="0"/>
    <n v="2.9646182799999998"/>
    <n v="2.9743224800000001"/>
    <n v="2.77066576"/>
    <n v="-6.8471633916440733E-2"/>
    <n v="-6.5422425985985577E-2"/>
  </r>
  <r>
    <x v="0"/>
    <x v="1"/>
    <n v="6.8739600000000003"/>
    <n v="5.6126216199999996"/>
    <n v="6.0280243100000002"/>
    <n v="7.4012238508962686E-2"/>
    <n v="-0.12306380747051192"/>
  </r>
  <r>
    <x v="1"/>
    <x v="1"/>
    <n v="3.4316146700000001"/>
    <n v="2.9789620999999999"/>
    <n v="2.6441794199999999"/>
    <n v="-0.11238232268883179"/>
    <n v="-0.22946493873101437"/>
  </r>
  <r>
    <x v="2"/>
    <x v="1"/>
    <n v="3.6990823399999999"/>
    <n v="3.43987036"/>
    <n v="3.0372076899999998"/>
    <n v="-0.11705751317907231"/>
    <n v="-0.17892941793774728"/>
  </r>
  <r>
    <x v="3"/>
    <x v="1"/>
    <n v="3.85233582"/>
    <n v="3.77311905"/>
    <n v="3.03451775"/>
    <n v="-0.19575351061345389"/>
    <n v="-0.21229147930306863"/>
  </r>
  <r>
    <x v="4"/>
    <x v="1"/>
    <n v="4.82842678"/>
    <n v="5.02183855"/>
    <n v="4.3037592299999998"/>
    <n v="-0.14299131938441154"/>
    <n v="-0.10866221523193528"/>
  </r>
  <r>
    <x v="5"/>
    <x v="1"/>
    <n v="3.4316146700000001"/>
    <n v="2.9789620999999999"/>
    <n v="2.6441794199999999"/>
    <n v="-0.11238232268883179"/>
    <n v="-0.22946493873101437"/>
  </r>
  <r>
    <x v="6"/>
    <x v="1"/>
    <n v="3.85233582"/>
    <n v="3.77311905"/>
    <n v="3.03451775"/>
    <n v="-0.19575351061345389"/>
    <n v="-0.21229147930306863"/>
  </r>
  <r>
    <x v="7"/>
    <x v="1"/>
    <n v="3.6990823399999999"/>
    <n v="3.43987036"/>
    <n v="3.0372076899999998"/>
    <n v="-0.11705751317907231"/>
    <n v="-0.17892941793774728"/>
  </r>
  <r>
    <x v="8"/>
    <x v="1"/>
    <n v="4.82842678"/>
    <n v="5.02183855"/>
    <n v="4.3037592299999998"/>
    <n v="-0.14299131938441154"/>
    <n v="-0.10866221523193528"/>
  </r>
  <r>
    <x v="9"/>
    <x v="1"/>
    <n v="3.6990823399999999"/>
    <n v="3.43987036"/>
    <n v="3.0372076899999998"/>
    <n v="-0.11705751317907231"/>
    <n v="-0.17892941793774728"/>
  </r>
  <r>
    <x v="10"/>
    <x v="1"/>
    <n v="4.82842678"/>
    <n v="5.02183855"/>
    <n v="4.3037592299999998"/>
    <n v="-0.14299131938441154"/>
    <n v="-0.10866221523193528"/>
  </r>
  <r>
    <x v="11"/>
    <x v="1"/>
    <n v="6.0014442800000003"/>
    <s v=""/>
    <s v=""/>
    <e v="#VALUE!"/>
    <e v="#VALUE!"/>
  </r>
  <r>
    <x v="12"/>
    <x v="1"/>
    <n v="3.4316146700000001"/>
    <n v="2.9789620999999999"/>
    <n v="2.6441794199999999"/>
    <n v="-0.11238232268883179"/>
    <n v="-0.22946493873101437"/>
  </r>
  <r>
    <x v="13"/>
    <x v="1"/>
    <n v="3.85233582"/>
    <n v="3.77311905"/>
    <n v="3.03451775"/>
    <n v="-0.19575351061345389"/>
    <n v="-0.21229147930306863"/>
  </r>
  <r>
    <x v="14"/>
    <x v="1"/>
    <n v="5.7621412400000001"/>
    <n v="5.5459456200000004"/>
    <n v="5.2714959099999996"/>
    <n v="-4.9486549058517584E-2"/>
    <n v="-8.5149827045891788E-2"/>
  </r>
  <r>
    <x v="15"/>
    <x v="1"/>
    <n v="4.3020679299999998"/>
    <n v="4.3141666299999999"/>
    <n v="3.6698109699999999"/>
    <n v="-0.14935808355645272"/>
    <n v="-0.14696582440993672"/>
  </r>
  <r>
    <x v="0"/>
    <x v="2"/>
    <n v="7.5485023599999996"/>
    <n v="6.0113765499999996"/>
    <n v="6.1870441200000004"/>
    <n v="2.9222519757142944E-2"/>
    <n v="-0.18036137170923522"/>
  </r>
  <r>
    <x v="1"/>
    <x v="2"/>
    <n v="3.42420978"/>
    <n v="3.4479921"/>
    <n v="3.0254491200000002"/>
    <n v="-0.12254754876033498"/>
    <n v="-0.11645333832321446"/>
  </r>
  <r>
    <x v="2"/>
    <x v="2"/>
    <n v="3.8226366199999999"/>
    <n v="3.9182451299999999"/>
    <n v="3.4458110199999998"/>
    <n v="-0.12057288258532207"/>
    <n v="-9.857740545581864E-2"/>
  </r>
  <r>
    <x v="3"/>
    <x v="2"/>
    <n v="4.1135035699999998"/>
    <n v="4.4585099499999998"/>
    <n v="3.5740037899999999"/>
    <n v="-0.19838604599278734"/>
    <n v="-0.13115335159414968"/>
  </r>
  <r>
    <x v="4"/>
    <x v="2"/>
    <n v="5.1500894800000001"/>
    <n v="5.7305553700000003"/>
    <n v="4.9166779600000003"/>
    <n v="-0.14202417696908143"/>
    <n v="-4.5321837786787299E-2"/>
  </r>
  <r>
    <x v="5"/>
    <x v="2"/>
    <n v="3.42420978"/>
    <n v="3.4479921"/>
    <n v="3.0254491200000002"/>
    <n v="-0.12254754876033498"/>
    <n v="-0.11645333832321446"/>
  </r>
  <r>
    <x v="6"/>
    <x v="2"/>
    <n v="4.1135035699999998"/>
    <n v="4.4585099499999998"/>
    <n v="3.5740037899999999"/>
    <n v="-0.19838604599278734"/>
    <n v="-0.13115335159414968"/>
  </r>
  <r>
    <x v="7"/>
    <x v="2"/>
    <n v="3.8226366199999999"/>
    <n v="3.9182451299999999"/>
    <n v="3.4458110199999998"/>
    <n v="-0.12057288258532207"/>
    <n v="-9.857740545581864E-2"/>
  </r>
  <r>
    <x v="8"/>
    <x v="2"/>
    <n v="5.1500894800000001"/>
    <n v="5.7305553700000003"/>
    <n v="4.9166779600000003"/>
    <n v="-0.14202417696908143"/>
    <n v="-4.5321837786787299E-2"/>
  </r>
  <r>
    <x v="9"/>
    <x v="2"/>
    <n v="3.8226366199999999"/>
    <n v="3.9182451299999999"/>
    <n v="3.4458110199999998"/>
    <n v="-0.12057288258532207"/>
    <n v="-9.857740545581864E-2"/>
  </r>
  <r>
    <x v="10"/>
    <x v="2"/>
    <n v="5.1500894800000001"/>
    <n v="5.7305553700000003"/>
    <n v="4.9166779600000003"/>
    <n v="-0.14202417696908143"/>
    <n v="-4.5321837786787299E-2"/>
  </r>
  <r>
    <x v="11"/>
    <x v="2"/>
    <n v="6.8895574000000002"/>
    <s v=""/>
    <s v=""/>
    <e v="#VALUE!"/>
    <e v="#VALUE!"/>
  </r>
  <r>
    <x v="12"/>
    <x v="2"/>
    <n v="3.42420978"/>
    <n v="3.4479921"/>
    <n v="3.0254491200000002"/>
    <n v="-0.12254754876033498"/>
    <n v="-0.11645333832321446"/>
  </r>
  <r>
    <x v="13"/>
    <x v="2"/>
    <n v="4.1135035699999998"/>
    <n v="4.4585099499999998"/>
    <n v="3.5740037899999999"/>
    <n v="-0.19838604599278734"/>
    <n v="-0.13115335159414968"/>
  </r>
  <r>
    <x v="14"/>
    <x v="2"/>
    <n v="6.36342213"/>
    <n v="6.4842151899999996"/>
    <n v="5.8402589100000002"/>
    <n v="-9.9311367857302629E-2"/>
    <n v="-8.2214130905063784E-2"/>
  </r>
  <r>
    <x v="15"/>
    <x v="2"/>
    <n v="4.5590797900000002"/>
    <n v="4.9594664499999999"/>
    <n v="4.2132926800000003"/>
    <n v="-0.15045444455017928"/>
    <n v="-7.5845812297134593E-2"/>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x v="0"/>
    <n v="0.57081146000000005"/>
    <n v="0.74136380000000002"/>
    <n v="0.50493080999999995"/>
    <n v="-0.31891628644398345"/>
    <n v="-0.11541578019474256"/>
  </r>
  <r>
    <x v="1"/>
    <x v="0"/>
    <n v="9.5535610000000007E-2"/>
    <n v="0.64136380000000004"/>
    <n v="0.30493081"/>
    <n v="-0.52455874497438115"/>
    <n v="2.1918026168462208"/>
  </r>
  <r>
    <x v="2"/>
    <x v="0"/>
    <n v="0.40148105000000001"/>
    <n v="0.22139713999999999"/>
    <n v="0.30405300000000002"/>
    <n v="0.3733375236915889"/>
    <n v="-0.24267160305573574"/>
  </r>
  <r>
    <x v="3"/>
    <x v="0"/>
    <n v="0.32913764000000001"/>
    <n v="0.10202774000000001"/>
    <n v="0.14217258999999999"/>
    <n v="0.39346995238745835"/>
    <n v="-0.5680451801258587"/>
  </r>
  <r>
    <x v="4"/>
    <x v="0"/>
    <n v="0.25511550999999999"/>
    <n v="0.39647964000000002"/>
    <n v="0.48839795000000003"/>
    <n v="0.23183614169948297"/>
    <n v="0.91441888421444872"/>
  </r>
  <r>
    <x v="0"/>
    <x v="1"/>
    <n v="0.75744663999999995"/>
    <n v="0.70454112000000002"/>
    <n v="0.61800136999999999"/>
    <n v="-0.12283136859350384"/>
    <n v="-0.18409913337261613"/>
  </r>
  <r>
    <x v="1"/>
    <x v="1"/>
    <n v="0.47674144000000002"/>
    <s v=""/>
    <n v="0.61800136999999999"/>
    <e v="#VALUE!"/>
    <n v="0.29630302329077995"/>
  </r>
  <r>
    <x v="2"/>
    <x v="1"/>
    <n v="0.33948771"/>
    <n v="0.30129939"/>
    <n v="0.94235838999999999"/>
    <n v="2.1276478521911382"/>
    <n v="1.7758247566605578"/>
  </r>
  <r>
    <x v="3"/>
    <x v="1"/>
    <n v="0.56701124000000003"/>
    <n v="0.15140795000000001"/>
    <n v="0.23006673"/>
    <n v="0.51951552081644314"/>
    <n v="-0.59424661493482922"/>
  </r>
  <r>
    <x v="4"/>
    <x v="1"/>
    <n v="0.4898518"/>
    <n v="0.43759582000000002"/>
    <n v="0.52787552000000004"/>
    <n v="0.20630841492041677"/>
    <n v="7.7622905540002174E-2"/>
  </r>
  <r>
    <x v="0"/>
    <x v="2"/>
    <n v="0.96587818000000003"/>
    <n v="0.84621851000000003"/>
    <n v="0.71205130000000005"/>
    <n v="-0.15854913171303706"/>
    <n v="-0.26279388566371792"/>
  </r>
  <r>
    <x v="1"/>
    <x v="2"/>
    <n v="0.71727074999999996"/>
    <n v="0.34621850999999998"/>
    <n v="0.7820513"/>
    <n v="1.2588373452361055"/>
    <n v="9.0315337688034888E-2"/>
  </r>
  <r>
    <x v="2"/>
    <x v="2"/>
    <n v="0.41686136000000001"/>
    <n v="0.25410451000000001"/>
    <n v="0.39339384999999999"/>
    <n v="0.54815768519810992"/>
    <n v="-5.6295719037139889E-2"/>
  </r>
  <r>
    <x v="3"/>
    <x v="2"/>
    <n v="0.17086865000000001"/>
    <n v="0.15822606"/>
    <n v="0.26592789999999999"/>
    <n v="0.68068332106607465"/>
    <n v="0.55632937932148452"/>
  </r>
  <r>
    <x v="4"/>
    <x v="2"/>
    <n v="0.36015483999999998"/>
    <n v="0.28445063999999998"/>
    <n v="0.23202244"/>
    <n v="-0.18431387603838748"/>
    <n v="-0.35577031256889396"/>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x v="0"/>
    <n v="7.3548413899999998"/>
    <n v="10.54852262"/>
    <n v="8.8351326100000005"/>
    <n v="-0.16242938198297188"/>
    <n v="0.20126759252927964"/>
  </r>
  <r>
    <x v="1"/>
    <x v="0"/>
    <n v="2.7045372599999999"/>
    <n v="4.2719157299999999"/>
    <n v="6.8351326099999996"/>
    <n v="0.60001578729644078"/>
    <n v="1.5272835804820823"/>
  </r>
  <r>
    <x v="2"/>
    <x v="0"/>
    <n v="3.0832557299999999"/>
    <n v="4.2819157299999997"/>
    <n v="5.2566730899999996"/>
    <n v="0.22764515265226856"/>
    <n v="0.70490985838531139"/>
  </r>
  <r>
    <x v="3"/>
    <x v="0"/>
    <n v="1.98272318"/>
    <n v="1.9707520199999999"/>
    <n v="2.4801975000000001"/>
    <n v="0.25850308655271614"/>
    <n v="0.25090457660357812"/>
  </r>
  <r>
    <x v="4"/>
    <x v="0"/>
    <n v="4.6838108099999998"/>
    <n v="8.2414718699999998"/>
    <n v="7.9189555"/>
    <n v="-3.9133345971124424E-2"/>
    <n v="0.69070780636419438"/>
  </r>
  <r>
    <x v="0"/>
    <x v="1"/>
    <n v="6.1082646499999997"/>
    <n v="7.98717875"/>
    <n v="9.0100543099999992"/>
    <n v="0.12806468867370713"/>
    <n v="0.4750595834121234"/>
  </r>
  <r>
    <x v="1"/>
    <x v="1"/>
    <n v="6.0175905099999998"/>
    <n v="5.98717875"/>
    <n v="9.3100543099999999"/>
    <n v="0.5549985558724132"/>
    <n v="0.54713988838698835"/>
  </r>
  <r>
    <x v="2"/>
    <x v="1"/>
    <n v="3.8707528600000001"/>
    <n v="4.6679623799999996"/>
    <n v="6.4265469499999996"/>
    <n v="0.37673494917926054"/>
    <n v="0.66028345968851121"/>
  </r>
  <r>
    <x v="3"/>
    <x v="1"/>
    <n v="1.9987191799999999"/>
    <n v="2.3440395399999998"/>
    <n v="3.3503788999999999"/>
    <n v="0.42931842352795818"/>
    <n v="0.67626294555296163"/>
  </r>
  <r>
    <x v="4"/>
    <x v="1"/>
    <n v="3.83619932"/>
    <n v="7.1577260699999998"/>
    <n v="8.1568330600000003"/>
    <n v="0.13958441273514682"/>
    <n v="1.1262797836062386"/>
  </r>
  <r>
    <x v="0"/>
    <x v="2"/>
    <n v="7.7024921300000004"/>
    <n v="10.85236171"/>
    <n v="8.7845693399999991"/>
    <n v="-0.1905384675940737"/>
    <n v="0.14048403967664924"/>
  </r>
  <r>
    <x v="1"/>
    <x v="2"/>
    <n v="8.5832370099999995"/>
    <n v="12.85236171"/>
    <n v="9.7845693399999991"/>
    <n v="-0.2386948359547843"/>
    <n v="0.13996261883487238"/>
  </r>
  <r>
    <x v="2"/>
    <x v="2"/>
    <n v="4.5154797200000001"/>
    <n v="3.89982936"/>
    <n v="5.2751811200000001"/>
    <n v="0.35266972809292352"/>
    <n v="0.16824378518081351"/>
  </r>
  <r>
    <x v="3"/>
    <x v="2"/>
    <n v="2.85607436"/>
    <n v="2.3839425699999999"/>
    <n v="3.6182799299999999"/>
    <n v="0.51777143272373383"/>
    <n v="0.26687175259680562"/>
  </r>
  <r>
    <x v="4"/>
    <x v="2"/>
    <n v="3.1210354699999998"/>
    <n v="4.4628593800000003"/>
    <n v="3.34226337"/>
    <n v="-0.2510937304056397"/>
    <n v="7.0882853503744431E-2"/>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x v="0"/>
    <n v="5845"/>
    <n v="6780"/>
    <n v="6323"/>
    <n v="-6.740412979351032E-2"/>
    <n v="8.1779298545765614E-2"/>
  </r>
  <r>
    <x v="1"/>
    <x v="0"/>
    <n v="2182"/>
    <n v="2973"/>
    <n v="6323"/>
    <n v="1.1268079381096536"/>
    <n v="1.8978001833180569"/>
  </r>
  <r>
    <x v="2"/>
    <x v="0"/>
    <n v="2593"/>
    <n v="2773"/>
    <n v="3808"/>
    <n v="0.37324197619906241"/>
    <n v="0.4685692248360972"/>
  </r>
  <r>
    <x v="3"/>
    <x v="0"/>
    <n v="2598"/>
    <n v="1278"/>
    <n v="1780"/>
    <n v="0.39280125195618154"/>
    <n v="-0.31485758275596615"/>
  </r>
  <r>
    <x v="4"/>
    <x v="0"/>
    <n v="3056"/>
    <n v="4965"/>
    <n v="6116"/>
    <n v="0.23182275931520643"/>
    <n v="1.0013089005235603"/>
  </r>
  <r>
    <x v="0"/>
    <x v="1"/>
    <n v="7569"/>
    <n v="8061"/>
    <n v="7070"/>
    <n v="-0.12293760079394617"/>
    <n v="-6.5926806711586738E-2"/>
  </r>
  <r>
    <x v="1"/>
    <x v="1"/>
    <n v="5394"/>
    <n v="4447"/>
    <n v="7570"/>
    <n v="0.70227119406341354"/>
    <n v="0.40341119762699296"/>
  </r>
  <r>
    <x v="2"/>
    <x v="1"/>
    <n v="2709"/>
    <n v="3447"/>
    <n v="5061"/>
    <n v="0.46823324630113144"/>
    <n v="0.86821705426356588"/>
  </r>
  <r>
    <x v="3"/>
    <x v="1"/>
    <n v="1890"/>
    <n v="1732"/>
    <n v="2632"/>
    <n v="0.51963048498845266"/>
    <n v="0.3925925925925926"/>
  </r>
  <r>
    <x v="4"/>
    <x v="1"/>
    <n v="3279"/>
    <n v="5006"/>
    <n v="6039"/>
    <n v="0.2063523771474231"/>
    <n v="0.84172003659652328"/>
  </r>
  <r>
    <x v="0"/>
    <x v="2"/>
    <n v="6931"/>
    <n v="3869"/>
    <n v="4097"/>
    <n v="5.8929956060997671E-2"/>
    <n v="-0.40888760640600202"/>
  </r>
  <r>
    <x v="1"/>
    <x v="2"/>
    <n v="4084"/>
    <n v="4469"/>
    <n v="5097"/>
    <n v="0.14052360707093309"/>
    <n v="0.2480411361410382"/>
  </r>
  <r>
    <x v="2"/>
    <x v="2"/>
    <n v="1704"/>
    <n v="1462"/>
    <n v="2264"/>
    <n v="0.54856361149110811"/>
    <n v="0.32863849765258218"/>
  </r>
  <r>
    <x v="3"/>
    <x v="2"/>
    <n v="973"/>
    <n v="1910"/>
    <n v="1530"/>
    <n v="-0.19895287958115182"/>
    <n v="0.57245632065775953"/>
  </r>
  <r>
    <x v="4"/>
    <x v="2"/>
    <n v="1481"/>
    <n v="1637"/>
    <n v="1335"/>
    <n v="-0.18448381185094687"/>
    <n v="-9.8582039162727883E-2"/>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x v="0"/>
    <n v="5920"/>
    <n v="6427.1"/>
    <n v="7157.1"/>
    <n v="0.11358155311104541"/>
    <n v="0.20896959459459466"/>
  </r>
  <r>
    <x v="1"/>
    <x v="0"/>
    <n v="6034.4"/>
    <n v="6475.2"/>
    <n v="7157.1"/>
    <n v="0.1053094885100075"/>
    <n v="0.18604998011401314"/>
  </r>
  <r>
    <x v="2"/>
    <x v="0"/>
    <n v="4084.9"/>
    <n v="3475.2"/>
    <n v="7243.6"/>
    <n v="1.0843692449355435"/>
    <n v="0.77326250336605551"/>
  </r>
  <r>
    <x v="3"/>
    <x v="0"/>
    <n v="4017.9"/>
    <n v="6483.4"/>
    <n v="6178.7"/>
    <n v="-4.6996946046827255E-2"/>
    <n v="0.53779337464844812"/>
  </r>
  <r>
    <x v="4"/>
    <x v="0"/>
    <n v="7328.2"/>
    <n v="6024.7"/>
    <n v="6857.7"/>
    <n v="0.13826414593257755"/>
    <n v="-6.4204033732703808E-2"/>
  </r>
  <r>
    <x v="0"/>
    <x v="1"/>
    <n v="6408.4"/>
    <n v="7336.3"/>
    <n v="6547.3"/>
    <n v="-0.10754740127857366"/>
    <n v="2.1674676986455362E-2"/>
  </r>
  <r>
    <x v="1"/>
    <x v="1"/>
    <n v="8963.2000000000007"/>
    <n v="7936.3"/>
    <n v="7847.3"/>
    <n v="-1.121429381449794E-2"/>
    <n v="-0.124497947161728"/>
  </r>
  <r>
    <x v="2"/>
    <x v="1"/>
    <n v="7438.2"/>
    <n v="7284.6"/>
    <n v="6875"/>
    <n v="-5.6228207451335742E-2"/>
    <n v="-7.5717243419106753E-2"/>
  </r>
  <r>
    <x v="3"/>
    <x v="1"/>
    <n v="9653.6"/>
    <n v="7389.9"/>
    <n v="7856.3"/>
    <n v="6.311316797250309E-2"/>
    <n v="-0.18617924919201129"/>
  </r>
  <r>
    <x v="4"/>
    <x v="1"/>
    <n v="8548.2000000000007"/>
    <n v="6794.5"/>
    <n v="7404"/>
    <n v="8.9704908381779386E-2"/>
    <n v="-0.13385274092791472"/>
  </r>
  <r>
    <x v="0"/>
    <x v="2"/>
    <n v="5788.7"/>
    <n v="3788.5"/>
    <n v="4187.3999999999996"/>
    <n v="0.10529233205754247"/>
    <n v="-0.27662514899718421"/>
  </r>
  <r>
    <x v="1"/>
    <x v="2"/>
    <n v="4758.5"/>
    <n v="3449.2"/>
    <n v="3187.4"/>
    <n v="-7.5901658355560633E-2"/>
    <n v="-0.33016706945466007"/>
  </r>
  <r>
    <x v="2"/>
    <x v="2"/>
    <n v="5732.4"/>
    <n v="2749.2"/>
    <n v="4291"/>
    <n v="0.5608176924196131"/>
    <n v="-0.25144791012490403"/>
  </r>
  <r>
    <x v="3"/>
    <x v="2"/>
    <n v="4242.1000000000004"/>
    <n v="3819"/>
    <n v="4229"/>
    <n v="0.1073579471065724"/>
    <n v="-3.0880931614059928E-3"/>
  </r>
  <r>
    <x v="4"/>
    <x v="2"/>
    <n v="4646.5"/>
    <n v="3667.5"/>
    <n v="3894.5"/>
    <n v="6.1895023858214042E-2"/>
    <n v="-0.16184224685246959"/>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x v="0"/>
    <n v="6.7013815000000001"/>
    <n v="5.1321290900000003"/>
    <n v="5.71503374"/>
    <n v="0.11357949883524844"/>
    <n v="-0.1471857347623024"/>
  </r>
  <r>
    <x v="1"/>
    <x v="0"/>
    <n v="5.6047827100000003"/>
    <n v="5.17051602"/>
    <n v="5.71503374"/>
    <n v="0.10531206515824701"/>
    <n v="1.9670883904792751E-2"/>
  </r>
  <r>
    <x v="2"/>
    <x v="0"/>
    <n v="6.93468515"/>
    <n v="5.67051602"/>
    <n v="5.7841337499999996"/>
    <n v="2.0036576847551106E-2"/>
    <n v="-0.1659125648984944"/>
  </r>
  <r>
    <x v="3"/>
    <x v="0"/>
    <n v="6.4804606900000001"/>
    <n v="4.1770967499999996"/>
    <n v="5.7323092500000001"/>
    <n v="0.37231900362374915"/>
    <n v="-0.11544726151251447"/>
  </r>
  <r>
    <x v="4"/>
    <x v="0"/>
    <n v="5.9553402599999998"/>
    <n v="4.8107868399999996"/>
    <n v="5.4759545899999997"/>
    <n v="0.13826589539768513"/>
    <n v="-8.0496772488361581E-2"/>
  </r>
  <r>
    <x v="0"/>
    <x v="1"/>
    <n v="8.5160368000000002"/>
    <n v="6.4123933900000001"/>
    <n v="6.8590193700000004"/>
    <n v="6.9650433595746741E-2"/>
    <n v="-0.19457612371989746"/>
  </r>
  <r>
    <x v="1"/>
    <x v="1"/>
    <n v="7.9224638900000004"/>
    <n v="5.4123933900000001"/>
    <n v="6.8590193700000004"/>
    <n v="0.26728027247110364"/>
    <n v="-0.13423153892090506"/>
  </r>
  <r>
    <x v="2"/>
    <x v="1"/>
    <n v="8.3423312599999999"/>
    <n v="6.2546232899999996"/>
    <n v="6.8832981699999998"/>
    <n v="0.10051362821564913"/>
    <n v="-0.17489512757612555"/>
  </r>
  <r>
    <x v="3"/>
    <x v="1"/>
    <n v="8.2559130700000001"/>
    <n v="6.4592744099999999"/>
    <n v="6.8668869499999996"/>
    <n v="6.3105004390113795E-2"/>
    <n v="-0.16824621434634371"/>
  </r>
  <r>
    <x v="4"/>
    <x v="1"/>
    <n v="7.5557024000000004"/>
    <n v="5.1136150699999998"/>
    <n v="6.5715744000000003"/>
    <n v="0.2851132339924054"/>
    <n v="-0.13024970385281454"/>
  </r>
  <r>
    <x v="0"/>
    <x v="2"/>
    <n v="7.1121167300000003"/>
    <n v="6.5841479100000004"/>
    <n v="6.2772881199999997"/>
    <n v="-4.6605846981952248E-2"/>
    <n v="-0.11738117380421575"/>
  </r>
  <r>
    <x v="1"/>
    <x v="2"/>
    <n v="8.5566462399999992"/>
    <n v="6.9841479099999999"/>
    <n v="7.2772881199999997"/>
    <n v="4.1972222492636158E-2"/>
    <n v="-0.14951630394854323"/>
  </r>
  <r>
    <x v="2"/>
    <x v="2"/>
    <n v="9.0133177199999999"/>
    <n v="6.51578546"/>
    <n v="7.4574472199999997"/>
    <n v="0.14452006834491443"/>
    <n v="-0.17261906751024861"/>
  </r>
  <r>
    <x v="3"/>
    <x v="2"/>
    <n v="9.8059161600000007"/>
    <n v="5.6371590899999999"/>
    <n v="7.34956692"/>
    <n v="0.30377142150160608"/>
    <n v="-0.25049665935548854"/>
  </r>
  <r>
    <x v="4"/>
    <x v="2"/>
    <n v="8.3355297099999994"/>
    <n v="6.3737306699999996"/>
    <n v="6.9420754200000001"/>
    <n v="8.9169872312787973E-2"/>
    <n v="-0.16717045448572931"/>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n v="0.47074286999999998"/>
    <n v="0.93863563000000005"/>
    <n v="0.64755843000000002"/>
    <n v="-0.3101067024272241"/>
    <n v="0.37560964014176157"/>
  </r>
  <r>
    <x v="1"/>
    <x v="0"/>
    <n v="0.28718473"/>
    <n v="1.1530855200000001"/>
    <n v="1.1552457"/>
    <n v="1.8733909693011805E-3"/>
    <n v="3.0226571238658826"/>
  </r>
  <r>
    <x v="2"/>
    <x v="0"/>
    <n v="1.01541149"/>
    <n v="0.80526675999999997"/>
    <n v="0.77006293000000003"/>
    <n v="-4.3716978954899288E-2"/>
    <n v="-0.24162476239066386"/>
  </r>
  <r>
    <x v="3"/>
    <x v="0"/>
    <n v="0.2414616"/>
    <n v="0.43711686"/>
    <n v="0.34059085"/>
    <n v="-0.2208242665359556"/>
    <n v="0.41053836303577879"/>
  </r>
  <r>
    <x v="4"/>
    <x v="0"/>
    <n v="0.52071352999999998"/>
    <n v="0.64310473999999995"/>
    <n v="0.44789340999999999"/>
    <n v="-0.30354515813396116"/>
    <n v="-0.13984679829617638"/>
  </r>
  <r>
    <x v="5"/>
    <x v="0"/>
    <n v="0.58678222000000002"/>
    <n v="0.76863612000000003"/>
    <n v="0.65330684000000006"/>
    <n v="-0.15004405465618761"/>
    <n v="0.11337190823539274"/>
  </r>
  <r>
    <x v="6"/>
    <x v="0"/>
    <n v="0.24151797999999999"/>
    <n v="0.37139583999999998"/>
    <n v="0.21276323999999999"/>
    <n v="-0.4271254088360279"/>
    <n v="-0.11905838232002439"/>
  </r>
  <r>
    <x v="7"/>
    <x v="0"/>
    <n v="0.24855721"/>
    <n v="0.26519346999999999"/>
    <n v="0.27971040000000003"/>
    <n v="5.4740902933997734E-2"/>
    <n v="0.12533609465603524"/>
  </r>
  <r>
    <x v="8"/>
    <x v="0"/>
    <n v="0.32532219000000001"/>
    <n v="0.22139713999999999"/>
    <n v="0.30405300000000002"/>
    <n v="0.3733375236915889"/>
    <n v="-6.5378847966073239E-2"/>
  </r>
  <r>
    <x v="9"/>
    <x v="0"/>
    <n v="0.33897359999999999"/>
    <n v="0.10202774000000001"/>
    <n v="0.14217258999999999"/>
    <n v="0.39346995238745835"/>
    <n v="-0.58057916604714943"/>
  </r>
  <r>
    <x v="0"/>
    <x v="1"/>
    <n v="0.86191302999999997"/>
    <n v="1.2581200800000001"/>
    <n v="0.88537233000000004"/>
    <n v="-0.29627358781206325"/>
    <n v="2.7217711281148717E-2"/>
  </r>
  <r>
    <x v="1"/>
    <x v="1"/>
    <n v="0.49247421000000002"/>
    <n v="1.53390121"/>
    <n v="1.4885348700000001"/>
    <n v="-2.9575789955860292E-2"/>
    <n v="2.0225641054381303"/>
  </r>
  <r>
    <x v="2"/>
    <x v="1"/>
    <n v="1.6459356199999999"/>
    <n v="1.0677110599999999"/>
    <n v="0.99727511999999996"/>
    <n v="-6.5969102165149424E-2"/>
    <n v="-0.3940983426800132"/>
  </r>
  <r>
    <x v="3"/>
    <x v="1"/>
    <n v="0.32829812000000003"/>
    <n v="0.53250302999999999"/>
    <n v="0.59132987000000004"/>
    <n v="0.11047231036413079"/>
    <n v="0.80119785638735908"/>
  </r>
  <r>
    <x v="4"/>
    <x v="1"/>
    <n v="0.69402472000000004"/>
    <n v="0.82149775000000003"/>
    <n v="0.79810117999999997"/>
    <n v="-2.8480382326062439E-2"/>
    <n v="0.14996073915061689"/>
  </r>
  <r>
    <x v="5"/>
    <x v="1"/>
    <n v="0.85066790999999997"/>
    <n v="0.99511985999999997"/>
    <n v="0.97566640000000004"/>
    <n v="-1.954886117939594E-2"/>
    <n v="0.14694158381970712"/>
  </r>
  <r>
    <x v="6"/>
    <x v="1"/>
    <n v="0.35438803000000002"/>
    <n v="0.53307002000000003"/>
    <n v="0.32282487999999998"/>
    <n v="-0.39440435986251871"/>
    <n v="-8.9063815163283128E-2"/>
  </r>
  <r>
    <x v="7"/>
    <x v="1"/>
    <n v="0.39201735999999998"/>
    <n v="0.38117593"/>
    <n v="0.46504915000000002"/>
    <n v="0.22003808057869767"/>
    <n v="0.18629733642408092"/>
  </r>
  <r>
    <x v="8"/>
    <x v="1"/>
    <n v="0.53168484999999999"/>
    <n v="0.30129939"/>
    <n v="0.94235838999999999"/>
    <n v="2.1276478521911382"/>
    <n v="0.77240030442845986"/>
  </r>
  <r>
    <x v="9"/>
    <x v="1"/>
    <n v="0.51786299999999996"/>
    <n v="0.15140795000000001"/>
    <n v="0.23006673"/>
    <n v="0.51951552081644314"/>
    <n v="-0.55573823578822967"/>
  </r>
  <r>
    <x v="0"/>
    <x v="2"/>
    <n v="1.51279268"/>
    <n v="1.4568962999999999"/>
    <n v="0.98892862999999998"/>
    <n v="-0.32120863372362191"/>
    <n v="-0.34628938712210056"/>
  </r>
  <r>
    <x v="1"/>
    <x v="2"/>
    <n v="2.6364485700000002"/>
    <n v="1.71400694"/>
    <n v="1.72960951"/>
    <n v="9.1029794780177389E-3"/>
    <n v="-0.34396235538931835"/>
  </r>
  <r>
    <x v="2"/>
    <x v="2"/>
    <n v="1.6485501199999999"/>
    <n v="1.2901895699999999"/>
    <n v="1.20823328"/>
    <n v="-6.3522672873568442E-2"/>
    <n v="-0.26709338991768111"/>
  </r>
  <r>
    <x v="3"/>
    <x v="2"/>
    <n v="0.44888614999999998"/>
    <n v="0.17475412000000001"/>
    <n v="0.52048738000000005"/>
    <n v="1.9783983347574297"/>
    <n v="0.15950866383380302"/>
  </r>
  <r>
    <x v="4"/>
    <x v="2"/>
    <n v="0.81177657999999997"/>
    <n v="0.24537043"/>
    <n v="0.70423685999999996"/>
    <n v="1.8700966942104635"/>
    <n v="-0.13247452889069553"/>
  </r>
  <r>
    <x v="5"/>
    <x v="2"/>
    <n v="0.91632027000000005"/>
    <n v="1.03560827"/>
    <n v="0.88591642999999998"/>
    <n v="-0.1445448480244369"/>
    <n v="-3.3180363891764687E-2"/>
  </r>
  <r>
    <x v="6"/>
    <x v="2"/>
    <s v=""/>
    <n v="0.58710339"/>
    <n v="0.28365016999999998"/>
    <n v="-0.51686504484329421"/>
    <e v="#VALUE!"/>
  </r>
  <r>
    <x v="7"/>
    <x v="2"/>
    <n v="0.40951600999999999"/>
    <n v="0.41347977000000002"/>
    <n v="0.59574768"/>
    <n v="0.44081457721619599"/>
    <n v="0.45476041339629192"/>
  </r>
  <r>
    <x v="8"/>
    <x v="2"/>
    <n v="0.52511121000000005"/>
    <n v="0.25410451000000001"/>
    <n v="0.39339384999999999"/>
    <n v="0.54815768519810992"/>
    <n v="-0.2508370750645374"/>
  </r>
  <r>
    <x v="9"/>
    <x v="2"/>
    <n v="0.51205276"/>
    <n v="0.15822606"/>
    <n v="0.26592789999999999"/>
    <n v="0.68068332106607465"/>
    <n v="-0.4806630863585229"/>
  </r>
</pivotCacheRecords>
</file>

<file path=xl/pivotCache/pivotCacheRecords1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n v="8.0908352000000008"/>
    <n v="12.257626719999999"/>
    <n v="8.4686743100000008"/>
    <n v="-0.30910978907668996"/>
    <n v="4.6699642331115579E-2"/>
  </r>
  <r>
    <x v="1"/>
    <x v="0"/>
    <n v="10.73836369"/>
    <n v="12.81384446"/>
    <n v="12.82558184"/>
    <n v="9.159920769008285E-4"/>
    <n v="0.19437022345813285"/>
  </r>
  <r>
    <x v="2"/>
    <x v="0"/>
    <n v="9.0596655599999991"/>
    <n v="8.2927637900000004"/>
    <n v="7.9551219499999997"/>
    <n v="-4.0715236626799031E-2"/>
    <n v="-0.12191880623902408"/>
  </r>
  <r>
    <x v="3"/>
    <x v="0"/>
    <n v="3.1218023499999998"/>
    <n v="7.2452470099999999"/>
    <n v="11.433205259999999"/>
    <n v="0.57802836041610672"/>
    <n v="2.6623731992513879"/>
  </r>
  <r>
    <x v="4"/>
    <x v="0"/>
    <n v="5.9709536500000002"/>
    <n v="8.3982938100000002"/>
    <n v="13.02064805"/>
    <n v="0.55039206112271033"/>
    <n v="1.1806647335137159"/>
  </r>
  <r>
    <x v="5"/>
    <x v="0"/>
    <n v="5.5383950500000001"/>
    <n v="8.6445259199999995"/>
    <n v="7.2246008799999997"/>
    <n v="-0.1642571325646508"/>
    <n v="0.30445748538649287"/>
  </r>
  <r>
    <x v="6"/>
    <x v="0"/>
    <n v="8.78704529"/>
    <n v="3.84971094"/>
    <n v="2.1965613400000001"/>
    <n v="-0.42942174770140012"/>
    <n v="-0.75002275878789737"/>
  </r>
  <r>
    <x v="7"/>
    <x v="0"/>
    <n v="2.8566099600000001"/>
    <n v="3.46315697"/>
    <n v="12.190296549999999"/>
    <n v="2.5199953844425362"/>
    <n v="3.267399722291803"/>
  </r>
  <r>
    <x v="8"/>
    <x v="0"/>
    <n v="3.0705817999999998"/>
    <n v="4.2819157299999997"/>
    <n v="5.2566730899999996"/>
    <n v="0.22764515265226856"/>
    <n v="0.71194693136004383"/>
  </r>
  <r>
    <x v="9"/>
    <x v="0"/>
    <n v="3.1178167299999999"/>
    <n v="1.9707520199999999"/>
    <n v="2.4801975000000001"/>
    <n v="0.25850308655271614"/>
    <n v="-0.20450824574284707"/>
  </r>
  <r>
    <x v="0"/>
    <x v="1"/>
    <n v="12.08404801"/>
    <n v="12.947980490000001"/>
    <n v="9.0526544399999995"/>
    <n v="-0.3008442940587101"/>
    <n v="-0.25085911339407202"/>
  </r>
  <r>
    <x v="1"/>
    <x v="1"/>
    <n v="14.959684810000001"/>
    <n v="13.49075511"/>
    <n v="13.02756175"/>
    <n v="-3.4334131501405629E-2"/>
    <n v="-0.12915533211692046"/>
  </r>
  <r>
    <x v="2"/>
    <x v="1"/>
    <n v="10.95327565"/>
    <n v="8.7336608499999997"/>
    <n v="8.2137497800000006"/>
    <n v="-5.9529569435936958E-2"/>
    <n v="-0.25011019146587438"/>
  </r>
  <r>
    <x v="3"/>
    <x v="1"/>
    <n v="3.3079299099999999"/>
    <n v="7.0945978399999996"/>
    <n v="7.15196758"/>
    <n v="8.0863977485157064E-3"/>
    <n v="1.1620674484000781"/>
  </r>
  <r>
    <x v="4"/>
    <x v="1"/>
    <n v="5.9846635800000003"/>
    <n v="8.4544687100000004"/>
    <n v="8.1603343200000005"/>
    <n v="-3.479040494313923E-2"/>
    <n v="0.36354102631112306"/>
  </r>
  <r>
    <x v="5"/>
    <x v="1"/>
    <n v="5.9591145900000004"/>
    <n v="8.8195745199999998"/>
    <n v="8.5195402300000005"/>
    <n v="-3.4019134292659653E-2"/>
    <n v="0.42966544800072387"/>
  </r>
  <r>
    <x v="6"/>
    <x v="1"/>
    <n v="4.4703115100000002"/>
    <n v="4.36554529"/>
    <n v="2.6544285699999999"/>
    <n v="-0.39195944752184675"/>
    <n v="-0.40620948583513822"/>
  </r>
  <r>
    <x v="7"/>
    <x v="1"/>
    <n v="3.3865293200000002"/>
    <n v="3.9228835499999999"/>
    <n v="15.325306579999999"/>
    <n v="2.9066432599050769"/>
    <n v="3.5253724778027311"/>
  </r>
  <r>
    <x v="8"/>
    <x v="1"/>
    <n v="3.72456852"/>
    <n v="4.6679623799999996"/>
    <n v="6.4265469499999996"/>
    <n v="0.37673494917926054"/>
    <n v="0.72544736806184451"/>
  </r>
  <r>
    <x v="9"/>
    <x v="1"/>
    <n v="3.5559295099999999"/>
    <n v="2.3440395399999998"/>
    <n v="3.3503788999999999"/>
    <n v="0.42931842352795818"/>
    <n v="-5.7805029436593068E-2"/>
  </r>
  <r>
    <x v="0"/>
    <x v="2"/>
    <n v="12.40592584"/>
    <n v="14.631044149999999"/>
    <n v="10.12366984"/>
    <n v="-0.30806921664575798"/>
    <n v="-0.18396498813828152"/>
  </r>
  <r>
    <x v="1"/>
    <x v="2"/>
    <n v="17.896421140000001"/>
    <n v="14.310960469999999"/>
    <n v="14.942018790000001"/>
    <n v="4.409615422548932E-2"/>
    <n v="-0.16508341678418953"/>
  </r>
  <r>
    <x v="2"/>
    <x v="2"/>
    <n v="10.77570504"/>
    <n v="9.7550820999999992"/>
    <n v="9.7652754300000009"/>
    <n v="1.0449250857664915E-3"/>
    <n v="-9.3769234240286811E-2"/>
  </r>
  <r>
    <x v="3"/>
    <x v="2"/>
    <n v="4.20482522"/>
    <n v="8.7284953400000003"/>
    <n v="5.9263495400000004"/>
    <n v="-0.32103423222999622"/>
    <n v="0.40941637997500413"/>
  </r>
  <r>
    <x v="4"/>
    <x v="2"/>
    <n v="6.65711838"/>
    <n v="10.865604510000001"/>
    <n v="7.2092780200000002"/>
    <n v="-0.33650465435539767"/>
    <n v="8.2942740158993569E-2"/>
  </r>
  <r>
    <x v="5"/>
    <x v="2"/>
    <n v="6.2200543399999999"/>
    <n v="8.7048064200000006"/>
    <n v="7.6500272100000002"/>
    <n v="-0.12117204669555424"/>
    <n v="0.22989716678262981"/>
  </r>
  <r>
    <x v="6"/>
    <x v="2"/>
    <s v=""/>
    <n v="4.4751295500000001"/>
    <n v="2.2843578199999999"/>
    <n v="-0.48954375633661829"/>
    <e v="#VALUE!"/>
  </r>
  <r>
    <x v="7"/>
    <x v="2"/>
    <n v="3.3514663699999998"/>
    <n v="4.1524168699999997"/>
    <n v="16.668915640000002"/>
    <n v="3.0142683554794445"/>
    <n v="3.97361864920041"/>
  </r>
  <r>
    <x v="8"/>
    <x v="2"/>
    <n v="3.5644963600000001"/>
    <n v="3.89982936"/>
    <n v="5.2751811200000001"/>
    <n v="0.35266972809292352"/>
    <n v="0.47992327308758981"/>
  </r>
  <r>
    <x v="9"/>
    <x v="2"/>
    <n v="3.4517034600000001"/>
    <n v="2.3839425699999999"/>
    <n v="3.6182799299999999"/>
    <n v="0.51777143272373383"/>
    <n v="4.8259206484672891E-2"/>
  </r>
</pivotCacheRecords>
</file>

<file path=xl/pivotCache/pivotCacheRecords1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n v="5587"/>
    <n v="11755"/>
    <n v="8110"/>
    <n v="-0.31008081667375587"/>
    <n v="0.45158403436549133"/>
  </r>
  <r>
    <x v="1"/>
    <x v="0"/>
    <n v="3753"/>
    <n v="14440"/>
    <n v="14468"/>
    <n v="1.9390581717451524E-3"/>
    <n v="2.8550492938982148"/>
  </r>
  <r>
    <x v="2"/>
    <x v="0"/>
    <n v="12563"/>
    <n v="10085"/>
    <n v="9644"/>
    <n v="-4.3728309370352006E-2"/>
    <n v="-0.23234896123537371"/>
  </r>
  <r>
    <x v="3"/>
    <x v="0"/>
    <n v="2987"/>
    <n v="5474"/>
    <n v="3897"/>
    <n v="-0.28808914870295943"/>
    <n v="0.30465349849347173"/>
  </r>
  <r>
    <x v="4"/>
    <x v="0"/>
    <n v="6442"/>
    <n v="8054"/>
    <n v="5124"/>
    <n v="-0.36379438788179785"/>
    <n v="-0.20459484632101832"/>
  </r>
  <r>
    <x v="5"/>
    <x v="0"/>
    <n v="7260"/>
    <n v="9626"/>
    <n v="8182"/>
    <n v="-0.15001038853106172"/>
    <n v="0.12699724517906336"/>
  </r>
  <r>
    <x v="6"/>
    <x v="0"/>
    <n v="914"/>
    <n v="4651"/>
    <n v="2665"/>
    <n v="-0.42700494517308107"/>
    <n v="1.9157549234135667"/>
  </r>
  <r>
    <x v="7"/>
    <x v="0"/>
    <n v="3075"/>
    <n v="3321"/>
    <n v="3503"/>
    <n v="5.480277024992472E-2"/>
    <n v="0.1391869918699187"/>
  </r>
  <r>
    <x v="8"/>
    <x v="0"/>
    <n v="4025"/>
    <n v="2773"/>
    <n v="3808"/>
    <n v="0.37324197619906241"/>
    <n v="-5.3913043478260869E-2"/>
  </r>
  <r>
    <x v="9"/>
    <x v="0"/>
    <n v="4194"/>
    <n v="1278"/>
    <n v="1780"/>
    <n v="0.39280125195618154"/>
    <n v="-0.57558416785884592"/>
  </r>
  <r>
    <x v="0"/>
    <x v="1"/>
    <n v="8620"/>
    <n v="14394"/>
    <n v="10129"/>
    <n v="-0.29630401556203972"/>
    <n v="0.17505800464037122"/>
  </r>
  <r>
    <x v="1"/>
    <x v="1"/>
    <n v="5459"/>
    <n v="17549"/>
    <n v="17030"/>
    <n v="-2.957433471992706E-2"/>
    <n v="2.1196189778347683"/>
  </r>
  <r>
    <x v="2"/>
    <x v="1"/>
    <n v="18621"/>
    <n v="12215"/>
    <n v="11410"/>
    <n v="-6.5902578796561598E-2"/>
    <n v="-0.38725095322485364"/>
  </r>
  <r>
    <x v="3"/>
    <x v="1"/>
    <n v="3714"/>
    <n v="6092"/>
    <n v="6765"/>
    <n v="0.11047275114904793"/>
    <n v="0.82148626817447501"/>
  </r>
  <r>
    <x v="4"/>
    <x v="1"/>
    <n v="7852"/>
    <n v="9399"/>
    <n v="9131"/>
    <n v="-2.8513671667198637E-2"/>
    <n v="0.16288843606724401"/>
  </r>
  <r>
    <x v="5"/>
    <x v="1"/>
    <n v="9624"/>
    <n v="11385"/>
    <n v="11162"/>
    <n v="-1.9587176108915239E-2"/>
    <n v="0.15980881130507066"/>
  </r>
  <r>
    <x v="6"/>
    <x v="1"/>
    <n v="615"/>
    <n v="6099"/>
    <n v="3693"/>
    <n v="-0.39449090014756516"/>
    <n v="5.0048780487804878"/>
  </r>
  <r>
    <x v="7"/>
    <x v="1"/>
    <n v="4435"/>
    <n v="4361"/>
    <n v="5321"/>
    <n v="0.22013299701903233"/>
    <n v="0.19977452085682074"/>
  </r>
  <r>
    <x v="8"/>
    <x v="1"/>
    <n v="6015"/>
    <n v="3447"/>
    <n v="5061"/>
    <n v="0.46823324630113144"/>
    <n v="-0.15860349127182044"/>
  </r>
  <r>
    <x v="9"/>
    <x v="1"/>
    <n v="5859"/>
    <n v="1732"/>
    <n v="2632"/>
    <n v="0.51963048498845266"/>
    <n v="-0.5507765830346476"/>
  </r>
  <r>
    <x v="0"/>
    <x v="2"/>
    <n v="8614"/>
    <n v="8383"/>
    <n v="5690"/>
    <n v="-0.32124537754980315"/>
    <n v="-0.33944741119108429"/>
  </r>
  <r>
    <x v="1"/>
    <x v="2"/>
    <n v="15013"/>
    <n v="9862"/>
    <n v="9952"/>
    <n v="9.1259379436219833E-3"/>
    <n v="-0.33710783987211085"/>
  </r>
  <r>
    <x v="2"/>
    <x v="2"/>
    <n v="9387"/>
    <n v="7424"/>
    <n v="6952"/>
    <n v="-6.3577586206896547E-2"/>
    <n v="-0.25940129966975606"/>
  </r>
  <r>
    <x v="3"/>
    <x v="2"/>
    <n v="2556"/>
    <n v="2189"/>
    <n v="2995"/>
    <n v="0.3682046596619461"/>
    <n v="0.17175273865414711"/>
  </r>
  <r>
    <x v="4"/>
    <x v="2"/>
    <n v="4622"/>
    <n v="3073"/>
    <n v="4052"/>
    <n v="0.31858119101854865"/>
    <n v="-0.12332323669407183"/>
  </r>
  <r>
    <x v="5"/>
    <x v="2"/>
    <n v="5218"/>
    <n v="5959"/>
    <n v="5098"/>
    <n v="-0.1444873300889411"/>
    <n v="-2.2997316979685704E-2"/>
  </r>
  <r>
    <x v="6"/>
    <x v="2"/>
    <s v=""/>
    <n v="3378"/>
    <n v="1632"/>
    <n v="-0.51687388987566607"/>
    <e v="#VALUE!"/>
  </r>
  <r>
    <x v="7"/>
    <x v="2"/>
    <n v="2332"/>
    <n v="2379"/>
    <n v="3428"/>
    <n v="0.44094157208911305"/>
    <n v="0.46998284734133788"/>
  </r>
  <r>
    <x v="8"/>
    <x v="2"/>
    <n v="2990"/>
    <n v="1462"/>
    <n v="2264"/>
    <n v="0.54856361149110811"/>
    <n v="-0.24280936454849497"/>
  </r>
  <r>
    <x v="9"/>
    <x v="2"/>
    <n v="2916"/>
    <n v="1910"/>
    <n v="1530"/>
    <n v="-0.19895287958115182"/>
    <n v="-0.47530864197530864"/>
  </r>
</pivotCacheRecords>
</file>

<file path=xl/pivotCache/pivotCacheRecords1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n v="5968.9"/>
    <n v="9589.7999999999993"/>
    <n v="9576"/>
    <n v="-1.4390289682787204E-3"/>
    <n v="0.60431570306086557"/>
  </r>
  <r>
    <x v="1"/>
    <x v="0"/>
    <n v="3789.3"/>
    <n v="11269.4"/>
    <n v="11280.2"/>
    <n v="9.5834738317932564E-4"/>
    <n v="1.9768558836724461"/>
  </r>
  <r>
    <x v="2"/>
    <x v="0"/>
    <n v="13867"/>
    <n v="10160.700000000001"/>
    <n v="12122.7"/>
    <n v="0.19309693229797159"/>
    <n v="-0.1257878416384221"/>
  </r>
  <r>
    <x v="3"/>
    <x v="0"/>
    <n v="9569.6"/>
    <n v="7555.5"/>
    <n v="3408.2"/>
    <n v="-0.54891138905433134"/>
    <n v="-0.6438513626483866"/>
  </r>
  <r>
    <x v="4"/>
    <x v="0"/>
    <n v="10789.6"/>
    <n v="9589.7999999999993"/>
    <n v="3935.5"/>
    <n v="-0.58961605038686937"/>
    <n v="-0.63525061170015573"/>
  </r>
  <r>
    <x v="5"/>
    <x v="0"/>
    <n v="13108.3"/>
    <n v="11135.2"/>
    <n v="11324.6"/>
    <n v="1.7009124218693838E-2"/>
    <n v="-0.13607409046176841"/>
  </r>
  <r>
    <x v="6"/>
    <x v="0"/>
    <n v="3874.4"/>
    <n v="10081.700000000001"/>
    <n v="12130.3"/>
    <n v="0.20319985716694589"/>
    <n v="2.1308847821598182"/>
  </r>
  <r>
    <x v="7"/>
    <x v="0"/>
    <n v="10765.3"/>
    <n v="9589.7999999999993"/>
    <n v="2873.5"/>
    <n v="-0.70035871446745501"/>
    <n v="-0.73307757331425971"/>
  </r>
  <r>
    <x v="8"/>
    <x v="0"/>
    <n v="13108.3"/>
    <n v="3475.2"/>
    <n v="7243.6"/>
    <n v="1.0843692449355435"/>
    <n v="-0.44740355347375321"/>
  </r>
  <r>
    <x v="9"/>
    <x v="0"/>
    <n v="13451.4"/>
    <n v="6483.4"/>
    <n v="6178.7"/>
    <n v="-4.6996946046827255E-2"/>
    <n v="-0.54066491220244728"/>
  </r>
  <r>
    <x v="0"/>
    <x v="1"/>
    <n v="7776.9"/>
    <n v="11116.7"/>
    <n v="11189.4"/>
    <n v="6.5397105256055216E-3"/>
    <n v="0.43879952166030167"/>
  </r>
  <r>
    <x v="1"/>
    <x v="1"/>
    <n v="3882.4"/>
    <n v="13008.2"/>
    <n v="13072.3"/>
    <n v="4.9276610138219382E-3"/>
    <n v="2.3670667628271169"/>
  </r>
  <r>
    <x v="2"/>
    <x v="1"/>
    <n v="17000.8"/>
    <n v="13986.6"/>
    <n v="13890.9"/>
    <n v="-6.8422633091673978E-3"/>
    <n v="-0.18292668580302102"/>
  </r>
  <r>
    <x v="3"/>
    <x v="1"/>
    <n v="11228.3"/>
    <n v="8587.2000000000007"/>
    <n v="9459.2999999999993"/>
    <n v="0.10155813303521502"/>
    <n v="-0.15754833768246307"/>
  </r>
  <r>
    <x v="4"/>
    <x v="1"/>
    <n v="13120.1"/>
    <n v="11116.7"/>
    <n v="11189.4"/>
    <n v="6.5397105256055216E-3"/>
    <n v="-0.14715589058010234"/>
  </r>
  <r>
    <x v="5"/>
    <x v="1"/>
    <n v="16150.3"/>
    <n v="12908.7"/>
    <n v="13102.1"/>
    <n v="1.4982143825482011E-2"/>
    <n v="-0.18873952805830227"/>
  </r>
  <r>
    <x v="6"/>
    <x v="1"/>
    <n v="4185"/>
    <n v="13970.2"/>
    <n v="13914"/>
    <n v="-4.0228486349515912E-3"/>
    <n v="2.3247311827956989"/>
  </r>
  <r>
    <x v="7"/>
    <x v="1"/>
    <n v="13096.4"/>
    <n v="11116.7"/>
    <n v="3471.7"/>
    <n v="-0.68770408484532286"/>
    <n v="-0.73491188418191267"/>
  </r>
  <r>
    <x v="8"/>
    <x v="1"/>
    <n v="16150.3"/>
    <n v="7284.6"/>
    <n v="6875"/>
    <n v="-5.6228207451335742E-2"/>
    <n v="-0.57431131310254302"/>
  </r>
  <r>
    <x v="9"/>
    <x v="1"/>
    <n v="16476.400000000001"/>
    <n v="7389.9"/>
    <n v="7856.3"/>
    <n v="6.311316797250309E-2"/>
    <n v="-0.52317860697725238"/>
  </r>
  <r>
    <x v="0"/>
    <x v="2"/>
    <n v="6943.7"/>
    <n v="5729.6"/>
    <n v="5620.8"/>
    <n v="-1.8989109187377857E-2"/>
    <n v="-0.1905180235321226"/>
  </r>
  <r>
    <x v="1"/>
    <x v="2"/>
    <n v="8388.6"/>
    <n v="6891.5"/>
    <n v="6660.6"/>
    <n v="-3.3505042443589879E-2"/>
    <n v="-0.20599384879479293"/>
  </r>
  <r>
    <x v="2"/>
    <x v="2"/>
    <n v="8711.5"/>
    <n v="7610.2"/>
    <n v="7119.3"/>
    <n v="-6.4505532049091957E-2"/>
    <n v="-0.18276990185387129"/>
  </r>
  <r>
    <x v="3"/>
    <x v="2"/>
    <n v="6078.9"/>
    <n v="2907.3"/>
    <n v="5053.5"/>
    <n v="0.7382107109689402"/>
    <n v="-0.16868183388441982"/>
  </r>
  <r>
    <x v="4"/>
    <x v="2"/>
    <n v="6943.7"/>
    <n v="2828.1"/>
    <n v="5620.8"/>
    <n v="0.98748276227856169"/>
    <n v="-0.1905180235321226"/>
  </r>
  <r>
    <x v="5"/>
    <x v="2"/>
    <n v="8388.6"/>
    <n v="6845.6"/>
    <n v="6663.5"/>
    <n v="-2.6601028397803018E-2"/>
    <n v="-0.20564814152540356"/>
  </r>
  <r>
    <x v="6"/>
    <x v="2"/>
    <s v=""/>
    <n v="7548.9"/>
    <n v="7144.8"/>
    <n v="-5.3530978023288094E-2"/>
    <e v="#VALUE!"/>
  </r>
  <r>
    <x v="7"/>
    <x v="2"/>
    <n v="6957.8"/>
    <n v="5729.6"/>
    <n v="2056.5"/>
    <n v="-0.64107442055291819"/>
    <n v="-0.70443243553996959"/>
  </r>
  <r>
    <x v="8"/>
    <x v="2"/>
    <n v="8388.6"/>
    <n v="2749.2"/>
    <n v="4291"/>
    <n v="0.5608176924196131"/>
    <n v="-0.48847245070691181"/>
  </r>
  <r>
    <x v="9"/>
    <x v="2"/>
    <n v="8447.2999999999993"/>
    <n v="3819"/>
    <n v="4229"/>
    <n v="0.1073579471065724"/>
    <n v="-0.49936666153682235"/>
  </r>
</pivotCacheRecords>
</file>

<file path=xl/pivotCache/pivotCacheRecords1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n v="4.2284795500000003"/>
    <n v="7.6575641699999997"/>
    <n v="7.6465147800000004"/>
    <n v="-1.4429379571231555E-3"/>
    <n v="0.80833670580244377"/>
  </r>
  <r>
    <x v="1"/>
    <x v="0"/>
    <n v="2.9544868200000001"/>
    <n v="8.99874756"/>
    <n v="9.00735508"/>
    <n v="9.5652422102170619E-4"/>
    <n v="2.0487037610139009"/>
  </r>
  <r>
    <x v="2"/>
    <x v="0"/>
    <n v="11.208046039999999"/>
    <n v="9.7104750600000003"/>
    <n v="9.6800896200000004"/>
    <n v="-3.1291404192123917E-3"/>
    <n v="-0.13632674371134176"/>
  </r>
  <r>
    <x v="3"/>
    <x v="0"/>
    <n v="7.73468556"/>
    <n v="6.0331533799999999"/>
    <n v="2.9789620999999999"/>
    <n v="-0.50623464838879995"/>
    <n v="-0.61485672857785834"/>
  </r>
  <r>
    <x v="4"/>
    <x v="0"/>
    <n v="8.7207765699999999"/>
    <n v="7.6575641699999997"/>
    <n v="3.43987036"/>
    <n v="-0.55078791589153608"/>
    <n v="-0.60555458193558553"/>
  </r>
  <r>
    <x v="5"/>
    <x v="0"/>
    <n v="10.594806159999999"/>
    <n v="8.8915936900000005"/>
    <n v="9.0428087700000006"/>
    <n v="1.7006521583421572E-2"/>
    <n v="-0.1464866243480191"/>
  </r>
  <r>
    <x v="6"/>
    <x v="0"/>
    <n v="2.9232752899999999"/>
    <n v="9.6473695900000003"/>
    <n v="9.6861961300000008"/>
    <n v="4.0245726711088427E-3"/>
    <n v="2.3134738158717858"/>
  </r>
  <r>
    <x v="7"/>
    <x v="0"/>
    <n v="8.7011253699999997"/>
    <n v="7.6575641699999997"/>
    <n v="2.2945331499999999"/>
    <n v="-0.70035730696331855"/>
    <n v="-0.7362946685136661"/>
  </r>
  <r>
    <x v="8"/>
    <x v="0"/>
    <n v="10.594806159999999"/>
    <n v="5.67051602"/>
    <n v="5.7841337499999996"/>
    <n v="2.0036576847551106E-2"/>
    <n v="-0.45405950211362811"/>
  </r>
  <r>
    <x v="9"/>
    <x v="0"/>
    <n v="10.87214636"/>
    <n v="4.1770967499999996"/>
    <n v="5.7323092500000001"/>
    <n v="0.37231900362374915"/>
    <n v="-0.47275275183105614"/>
  </r>
  <r>
    <x v="0"/>
    <x v="1"/>
    <n v="6.8739600000000003"/>
    <n v="9.7167282299999993"/>
    <n v="9.7802509999999998"/>
    <n v="6.5374649260927726E-3"/>
    <n v="0.42279719404826321"/>
  </r>
  <r>
    <x v="1"/>
    <x v="1"/>
    <n v="3.4316146700000001"/>
    <n v="11.370017470000001"/>
    <n v="11.4260435"/>
    <n v="4.9275236513774629E-3"/>
    <n v="2.3296405916110623"/>
  </r>
  <r>
    <x v="2"/>
    <x v="1"/>
    <n v="15.026880289999999"/>
    <n v="12.22524072"/>
    <n v="12.14153277"/>
    <n v="-6.8471412479476201E-3"/>
    <n v="-0.1920124113799006"/>
  </r>
  <r>
    <x v="3"/>
    <x v="1"/>
    <n v="9.9245789599999998"/>
    <n v="7.5057535399999997"/>
    <n v="8.2680726300000007"/>
    <n v="0.1015646311775914"/>
    <n v="-0.16690948166933614"/>
  </r>
  <r>
    <x v="4"/>
    <x v="1"/>
    <n v="11.596720680000001"/>
    <n v="9.7167282299999993"/>
    <n v="9.7802509999999998"/>
    <n v="6.5374649260927726E-3"/>
    <n v="-0.15663649493022028"/>
  </r>
  <r>
    <x v="5"/>
    <x v="1"/>
    <n v="14.27507224"/>
    <n v="11.283082370000001"/>
    <n v="11.45210155"/>
    <n v="1.4979876460832695E-2"/>
    <n v="-0.19775526473973207"/>
  </r>
  <r>
    <x v="6"/>
    <x v="1"/>
    <n v="3.6990823399999999"/>
    <n v="12.210846220000001"/>
    <n v="12.1617467"/>
    <n v="-4.0209760335512927E-3"/>
    <n v="2.2877739888320519"/>
  </r>
  <r>
    <x v="7"/>
    <x v="1"/>
    <n v="11.575785359999999"/>
    <n v="9.7167282299999993"/>
    <n v="3.03451775"/>
    <n v="-0.68770169565604899"/>
    <n v="-0.73785642566544607"/>
  </r>
  <r>
    <x v="8"/>
    <x v="1"/>
    <n v="14.27507224"/>
    <n v="6.2546232899999996"/>
    <n v="6.8832981699999998"/>
    <n v="0.10051362821564913"/>
    <n v="-0.51780992388168823"/>
  </r>
  <r>
    <x v="9"/>
    <x v="1"/>
    <n v="14.563365129999999"/>
    <n v="6.4592744099999999"/>
    <n v="6.8668869499999996"/>
    <n v="6.3105004390113795E-2"/>
    <n v="-0.52848212698763808"/>
  </r>
  <r>
    <x v="0"/>
    <x v="2"/>
    <n v="12.19411356"/>
    <n v="9.9575688699999994"/>
    <n v="9.7684796600000006"/>
    <n v="-1.8989495575539896E-2"/>
    <n v="-0.19891842798288648"/>
  </r>
  <r>
    <x v="1"/>
    <x v="2"/>
    <n v="14.73170837"/>
    <n v="11.976882659999999"/>
    <n v="11.575474059999999"/>
    <n v="-3.351528201412636E-2"/>
    <n v="-0.2142476779154433"/>
  </r>
  <r>
    <x v="2"/>
    <x v="2"/>
    <n v="15.298768020000001"/>
    <n v="13.22581967"/>
    <n v="12.37275166"/>
    <n v="-6.4500199706715E-2"/>
    <n v="-0.19125829976471531"/>
  </r>
  <r>
    <x v="3"/>
    <x v="2"/>
    <n v="10.675500850000001"/>
    <n v="2.5021104599999999"/>
    <n v="8.7825967200000008"/>
    <n v="2.5100755383916988"/>
    <n v="-0.17731291080361813"/>
  </r>
  <r>
    <x v="4"/>
    <x v="2"/>
    <n v="12.19411356"/>
    <n v="2.2582308499999999"/>
    <n v="9.7684796600000006"/>
    <n v="3.325722350307986"/>
    <n v="-0.19891842798288648"/>
  </r>
  <r>
    <x v="5"/>
    <x v="2"/>
    <n v="14.73170837"/>
    <n v="11.896970700000001"/>
    <n v="11.58056581"/>
    <n v="-2.6595416428150161E-2"/>
    <n v="-0.213902045903723"/>
  </r>
  <r>
    <x v="6"/>
    <x v="2"/>
    <s v=""/>
    <n v="13.119249050000001"/>
    <n v="12.41706385"/>
    <n v="-5.352327692872029E-2"/>
    <e v="#VALUE!"/>
  </r>
  <r>
    <x v="7"/>
    <x v="2"/>
    <n v="12.21901001"/>
    <n v="9.9575688699999994"/>
    <n v="3.5740037899999999"/>
    <n v="-0.64107666874715774"/>
    <n v="-0.70750463523026441"/>
  </r>
  <r>
    <x v="8"/>
    <x v="2"/>
    <n v="14.73170837"/>
    <n v="6.51578546"/>
    <n v="7.4574472199999997"/>
    <n v="0.14452006834491443"/>
    <n v="-0.49378259243941308"/>
  </r>
  <r>
    <x v="9"/>
    <x v="2"/>
    <n v="14.83478421"/>
    <n v="5.6371590899999999"/>
    <n v="7.34956692"/>
    <n v="0.30377142150160608"/>
    <n v="-0.50457203718233257"/>
  </r>
</pivotCacheRecords>
</file>

<file path=xl/pivotCache/pivotCacheRecords1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x v="0"/>
    <x v="0"/>
    <n v="0.87027156000000006"/>
    <n v="0.92103800000000002"/>
    <n v="1.05249481"/>
    <n v="0.14272680388865602"/>
    <n v="0.20938665397729408"/>
  </r>
  <r>
    <x v="1"/>
    <x v="0"/>
    <n v="0.59731308999999999"/>
    <n v="0.83640028"/>
    <n v="1.9308793"/>
    <n v="1.3085588876177805"/>
    <n v="2.2326083796355443"/>
  </r>
  <r>
    <x v="2"/>
    <x v="0"/>
    <n v="0.18355446"/>
    <n v="0.27971040000000003"/>
    <n v="0.39824635000000003"/>
    <n v="0.42378098919453833"/>
    <n v="1.1696359216768693"/>
  </r>
  <r>
    <x v="3"/>
    <x v="0"/>
    <n v="0.77759741000000004"/>
    <n v="0.39824635000000003"/>
    <n v="0.52297276000000004"/>
    <n v="0.31318908509770399"/>
    <n v="-0.3274504862355444"/>
  </r>
  <r>
    <x v="4"/>
    <x v="0"/>
    <n v="0.60478405000000002"/>
    <n v="0.49163519999999999"/>
    <n v="0.27147176000000001"/>
    <n v="-0.44781870785492983"/>
    <n v="-0.55112612510200953"/>
  </r>
  <r>
    <x v="5"/>
    <x v="0"/>
    <n v="0.50036035000000001"/>
    <n v="0.39550779000000003"/>
    <n v="0.52996505000000005"/>
    <n v="0.33996109153753967"/>
    <n v="5.9166758517136778E-2"/>
  </r>
  <r>
    <x v="0"/>
    <x v="1"/>
    <n v="1.25590559"/>
    <n v="1.2195798200000001"/>
    <n v="1.2338538100000001"/>
    <n v="1.1704022783846945E-2"/>
    <n v="-1.7558469502472685E-2"/>
  </r>
  <r>
    <x v="1"/>
    <x v="1"/>
    <n v="0.97012949000000004"/>
    <n v="0.79723584999999997"/>
    <n v="2.19684072"/>
    <n v="1.7555719176451989"/>
    <n v="1.2644819507548417"/>
  </r>
  <r>
    <x v="2"/>
    <x v="1"/>
    <n v="0.25429549000000001"/>
    <n v="0.46504915000000002"/>
    <n v="0.63195210000000002"/>
    <n v="0.35889314064975708"/>
    <n v="1.4851093505433384"/>
  </r>
  <r>
    <x v="3"/>
    <x v="1"/>
    <n v="1.07540236"/>
    <n v="0.63195210000000002"/>
    <n v="0.82918952999999995"/>
    <n v="0.3121081961749948"/>
    <n v="-0.22894949756294011"/>
  </r>
  <r>
    <x v="4"/>
    <x v="1"/>
    <n v="0.85023039"/>
    <n v="0.77006332"/>
    <n v="0.70762221000000003"/>
    <n v="-8.1085682668277162E-2"/>
    <n v="-0.16772886699568568"/>
  </r>
  <r>
    <x v="5"/>
    <x v="1"/>
    <n v="0.79110175000000005"/>
    <n v="0.59369203999999998"/>
    <n v="0.76104950999999998"/>
    <n v="0.28189273010970473"/>
    <n v="-3.7987831527360495E-2"/>
  </r>
  <r>
    <x v="0"/>
    <x v="2"/>
    <n v="1.21136267"/>
    <n v="1.2787318000000001"/>
    <n v="1.1135021899999999"/>
    <n v="-0.12921365527939488"/>
    <n v="-8.0785451313271875E-2"/>
  </r>
  <r>
    <x v="1"/>
    <x v="2"/>
    <n v="0.85682625000000001"/>
    <n v="0.90119446999999997"/>
    <n v="1.6623628500000001"/>
    <n v="0.84462167194612292"/>
    <n v="0.94013996419927615"/>
  </r>
  <r>
    <x v="2"/>
    <x v="2"/>
    <n v="0.21021132000000001"/>
    <n v="0.59574768"/>
    <n v="0.69938374000000003"/>
    <n v="0.17395965352311574"/>
    <n v="2.3270507982158146"/>
  </r>
  <r>
    <x v="3"/>
    <x v="2"/>
    <n v="1.24185173"/>
    <n v="0.69938374000000003"/>
    <n v="0.74905326999999999"/>
    <n v="7.1018994522234619E-2"/>
    <n v="-0.39682552119164827"/>
  </r>
  <r>
    <x v="4"/>
    <x v="2"/>
    <n v="0.79735856999999999"/>
    <n v="0.78308593999999998"/>
    <n v="0.68766152000000003"/>
    <n v="-0.12185689351030866"/>
    <n v="-0.13757555775690725"/>
  </r>
  <r>
    <x v="5"/>
    <x v="2"/>
    <n v="0.94224838"/>
    <n v="0.69766174999999997"/>
    <n v="0.91145973999999996"/>
    <n v="0.30644935027611875"/>
    <n v="-3.267571550507737E-2"/>
  </r>
</pivotCacheRecords>
</file>

<file path=xl/pivotCache/pivotCacheRecords1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x v="0"/>
    <x v="0"/>
    <n v="7.0821930000000002"/>
    <n v="8.0342203100000003"/>
    <n v="10.264460440000001"/>
    <n v="0.27759260313338363"/>
    <n v="0.44933362307409586"/>
  </r>
  <r>
    <x v="1"/>
    <x v="0"/>
    <n v="5.3047151599999998"/>
    <n v="8.1177537399999995"/>
    <n v="18.99379467"/>
    <n v="1.3397845362576866"/>
    <n v="2.5805493974911182"/>
  </r>
  <r>
    <x v="2"/>
    <x v="0"/>
    <n v="1.7010726300000001"/>
    <n v="12.190296549999999"/>
    <n v="12.26941927"/>
    <n v="6.4906312718045296E-3"/>
    <n v="6.2127545018462849"/>
  </r>
  <r>
    <x v="3"/>
    <x v="0"/>
    <n v="5.9119593200000002"/>
    <n v="12.26941927"/>
    <n v="4.8928792000000003"/>
    <n v="-0.60121346476735082"/>
    <n v="-0.17237603725595321"/>
  </r>
  <r>
    <x v="4"/>
    <x v="0"/>
    <n v="4.56955811"/>
    <n v="4.3088751500000004"/>
    <n v="2.5398617799999998"/>
    <n v="-0.41055108547296859"/>
    <n v="-0.44417781350853641"/>
  </r>
  <r>
    <x v="5"/>
    <x v="0"/>
    <n v="3.69324393"/>
    <n v="3.2165419700000002"/>
    <n v="4.7981786399999997"/>
    <n v="0.491719581075449"/>
    <n v="0.29917728992246656"/>
  </r>
  <r>
    <x v="0"/>
    <x v="1"/>
    <n v="7.97643507"/>
    <n v="8.3779551800000007"/>
    <n v="9.3244789499999996"/>
    <n v="0.11297789850434588"/>
    <n v="0.16900330387820728"/>
  </r>
  <r>
    <x v="1"/>
    <x v="1"/>
    <n v="6.6764331700000001"/>
    <n v="6.0071788499999998"/>
    <n v="16.415215809999999"/>
    <n v="1.7325998143038477"/>
    <n v="1.4586804648566565"/>
  </r>
  <r>
    <x v="2"/>
    <x v="1"/>
    <n v="1.6869447900000001"/>
    <n v="15.325306579999999"/>
    <n v="14.68372349"/>
    <n v="-4.1864290717504152E-2"/>
    <n v="7.7043296123520433"/>
  </r>
  <r>
    <x v="3"/>
    <x v="1"/>
    <n v="6.4371375300000002"/>
    <n v="14.68372349"/>
    <n v="6.0494991300000001"/>
    <n v="-0.58801327646084689"/>
    <n v="-6.0219064482221828E-2"/>
  </r>
  <r>
    <x v="4"/>
    <x v="1"/>
    <n v="5.0701741699999996"/>
    <n v="5.3173431000000004"/>
    <n v="5.1625831900000003"/>
    <n v="-2.9104744059114805E-2"/>
    <n v="1.822600504471442E-2"/>
  </r>
  <r>
    <x v="5"/>
    <x v="1"/>
    <n v="4.5628903599999999"/>
    <n v="3.8299142800000001"/>
    <n v="5.3818638500000002"/>
    <n v="0.40521783427487051"/>
    <n v="0.17948568240416812"/>
  </r>
  <r>
    <x v="0"/>
    <x v="2"/>
    <n v="7.6605060700000003"/>
    <n v="8.9754884700000002"/>
    <n v="8.3945884"/>
    <n v="-6.472071931701788E-2"/>
    <n v="9.5826871396239188E-2"/>
  </r>
  <r>
    <x v="1"/>
    <x v="2"/>
    <n v="5.65051141"/>
    <n v="6.8561795500000002"/>
    <n v="12.593832580000001"/>
    <n v="0.83685863069324085"/>
    <n v="1.2287951773200652"/>
  </r>
  <r>
    <x v="2"/>
    <x v="2"/>
    <n v="1.4561689499999999"/>
    <n v="16.668915640000002"/>
    <n v="14.224721280000001"/>
    <n v="-0.14663187532935409"/>
    <n v="8.768592634803813"/>
  </r>
  <r>
    <x v="3"/>
    <x v="2"/>
    <n v="7.4889053099999998"/>
    <n v="14.224721280000001"/>
    <n v="5.5068075299999997"/>
    <n v="-0.61287061998588421"/>
    <n v="-0.26467123003321835"/>
  </r>
  <r>
    <x v="4"/>
    <x v="2"/>
    <n v="4.7819772299999999"/>
    <n v="5.5317676999999996"/>
    <n v="5.0554743699999998"/>
    <n v="-8.6101469879149101E-2"/>
    <n v="5.7193317083193203E-2"/>
  </r>
  <r>
    <x v="5"/>
    <x v="2"/>
    <n v="5.46570321"/>
    <n v="4.5420225099999998"/>
    <n v="6.5110062099999997"/>
    <n v="0.43350373003765674"/>
    <n v="0.19124766930036063"/>
  </r>
</pivotCacheRecords>
</file>

<file path=xl/pivotCache/pivotCacheRecords1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x v="0"/>
    <x v="0"/>
    <n v="10767"/>
    <n v="11534"/>
    <n v="13181"/>
    <n v="0.14279521414947113"/>
    <n v="0.2242035850283273"/>
  </r>
  <r>
    <x v="1"/>
    <x v="0"/>
    <n v="7390"/>
    <n v="10475"/>
    <n v="24181"/>
    <n v="1.3084486873508354"/>
    <n v="2.2721244925575101"/>
  </r>
  <r>
    <x v="2"/>
    <x v="0"/>
    <n v="2271"/>
    <n v="3503"/>
    <n v="4987"/>
    <n v="0.42363688267199545"/>
    <n v="1.1959489211800969"/>
  </r>
  <r>
    <x v="3"/>
    <x v="0"/>
    <n v="9621"/>
    <n v="4987"/>
    <n v="6549"/>
    <n v="0.31321435732905556"/>
    <n v="-0.31930152790770189"/>
  </r>
  <r>
    <x v="4"/>
    <x v="0"/>
    <n v="7483"/>
    <n v="6157"/>
    <n v="3400"/>
    <n v="-0.44778301120675656"/>
    <n v="-0.54563677669383936"/>
  </r>
  <r>
    <x v="5"/>
    <x v="0"/>
    <n v="6191"/>
    <n v="4953"/>
    <n v="6637"/>
    <n v="0.33999596204320615"/>
    <n v="7.2040058148925862E-2"/>
  </r>
  <r>
    <x v="0"/>
    <x v="1"/>
    <n v="14209"/>
    <n v="13953"/>
    <n v="14116"/>
    <n v="1.1682075539310543E-2"/>
    <n v="-6.5451474417622633E-3"/>
  </r>
  <r>
    <x v="1"/>
    <x v="1"/>
    <n v="10976"/>
    <n v="9121"/>
    <n v="25134"/>
    <n v="1.755618901436246"/>
    <n v="1.289905247813411"/>
  </r>
  <r>
    <x v="2"/>
    <x v="1"/>
    <n v="2877"/>
    <n v="5321"/>
    <n v="7230"/>
    <n v="0.3587671490321368"/>
    <n v="1.5130344108446299"/>
  </r>
  <r>
    <x v="3"/>
    <x v="1"/>
    <n v="12167"/>
    <n v="7230"/>
    <n v="9487"/>
    <n v="0.31217150760719226"/>
    <n v="-0.22026793786471605"/>
  </r>
  <r>
    <x v="4"/>
    <x v="1"/>
    <n v="9619"/>
    <n v="8810"/>
    <n v="8096"/>
    <n v="-8.1044267877412035E-2"/>
    <n v="-0.15833246699241085"/>
  </r>
  <r>
    <x v="5"/>
    <x v="1"/>
    <n v="8950"/>
    <n v="6792"/>
    <n v="8707"/>
    <n v="0.28194935217903416"/>
    <n v="-2.7150837988826816E-2"/>
  </r>
  <r>
    <x v="0"/>
    <x v="2"/>
    <n v="6898"/>
    <n v="7358"/>
    <n v="6407"/>
    <n v="-0.12924707801032889"/>
    <n v="-7.1180052189040305E-2"/>
  </r>
  <r>
    <x v="1"/>
    <x v="2"/>
    <n v="4879"/>
    <n v="5186"/>
    <n v="9565"/>
    <n v="0.84438873891245658"/>
    <n v="0.96044271367083422"/>
  </r>
  <r>
    <x v="2"/>
    <x v="2"/>
    <n v="1197"/>
    <n v="3428"/>
    <n v="4024"/>
    <n v="0.17386231038506417"/>
    <n v="2.361737677527151"/>
  </r>
  <r>
    <x v="3"/>
    <x v="2"/>
    <n v="7071"/>
    <n v="4024"/>
    <n v="4310"/>
    <n v="7.1073558648111337E-2"/>
    <n v="-0.39046810917833402"/>
  </r>
  <r>
    <x v="4"/>
    <x v="2"/>
    <n v="4540"/>
    <n v="4506"/>
    <n v="3957"/>
    <n v="-0.12183754993342211"/>
    <n v="-0.12841409691629957"/>
  </r>
  <r>
    <x v="5"/>
    <x v="2"/>
    <n v="5365"/>
    <n v="4014"/>
    <n v="5245"/>
    <n v="0.30667663178873938"/>
    <n v="-2.2367194780987885E-2"/>
  </r>
</pivotCacheRecords>
</file>

<file path=xl/pivotCache/pivotCacheRecords1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x v="0"/>
    <x v="0"/>
    <n v="15203.3"/>
    <n v="14356.6"/>
    <n v="12841.1"/>
    <n v="-0.10556120529930485"/>
    <n v="-0.15537416218847216"/>
  </r>
  <r>
    <x v="1"/>
    <x v="0"/>
    <n v="13931.3"/>
    <n v="12903.2"/>
    <n v="12731"/>
    <n v="-1.3345526691053438E-2"/>
    <n v="-8.6158506384903008E-2"/>
  </r>
  <r>
    <x v="2"/>
    <x v="0"/>
    <n v="13350.4"/>
    <n v="2873.5"/>
    <n v="4064.9"/>
    <n v="0.41461632155907435"/>
    <n v="-0.69552223154362414"/>
  </r>
  <r>
    <x v="3"/>
    <x v="0"/>
    <n v="16273.3"/>
    <n v="4064.9"/>
    <n v="13385.5"/>
    <n v="2.2929469359639842"/>
    <n v="-0.17745632416289256"/>
  </r>
  <r>
    <x v="4"/>
    <x v="0"/>
    <n v="16374.9"/>
    <n v="14288.9"/>
    <n v="13385.5"/>
    <n v="-6.3223901070061359E-2"/>
    <n v="-0.18255989349553278"/>
  </r>
  <r>
    <x v="5"/>
    <x v="0"/>
    <n v="16762"/>
    <n v="15398.7"/>
    <n v="13832.2"/>
    <n v="-0.10172936676472689"/>
    <n v="-0.17478821143061682"/>
  </r>
  <r>
    <x v="0"/>
    <x v="1"/>
    <n v="17813.5"/>
    <n v="16654.400000000001"/>
    <n v="15138.9"/>
    <n v="-9.0996973772696804E-2"/>
    <n v="-0.15014455328823648"/>
  </r>
  <r>
    <x v="1"/>
    <x v="1"/>
    <n v="16439.400000000001"/>
    <n v="15183.5"/>
    <n v="15311.1"/>
    <n v="8.4038594526953843E-3"/>
    <n v="-6.8633891747874071E-2"/>
  </r>
  <r>
    <x v="2"/>
    <x v="1"/>
    <n v="17054.5"/>
    <n v="3471.7"/>
    <n v="4923.8"/>
    <n v="0.41826770746320258"/>
    <n v="-0.71129027529391076"/>
  </r>
  <r>
    <x v="3"/>
    <x v="1"/>
    <n v="18900.8"/>
    <n v="4923.8"/>
    <n v="15681.6"/>
    <n v="2.1848572240952109"/>
    <n v="-0.17032083298061454"/>
  </r>
  <r>
    <x v="4"/>
    <x v="1"/>
    <n v="18972.099999999999"/>
    <n v="16568.7"/>
    <n v="15681.6"/>
    <n v="-5.3540712306940214E-2"/>
    <n v="-0.17343889184644812"/>
  </r>
  <r>
    <x v="5"/>
    <x v="1"/>
    <n v="19615.2"/>
    <n v="17734.900000000001"/>
    <n v="16178.4"/>
    <n v="-8.7764802733593175E-2"/>
    <n v="-0.17521106080998414"/>
  </r>
  <r>
    <x v="0"/>
    <x v="2"/>
    <n v="9004.4"/>
    <n v="8197.7000000000007"/>
    <n v="7632.4"/>
    <n v="-6.895836637105543E-2"/>
    <n v="-0.15236995246768248"/>
  </r>
  <r>
    <x v="1"/>
    <x v="2"/>
    <n v="8634.6"/>
    <n v="7563.2"/>
    <n v="7595.2"/>
    <n v="4.2310133276919825E-3"/>
    <n v="-0.12037616102656759"/>
  </r>
  <r>
    <x v="2"/>
    <x v="2"/>
    <n v="8220.2000000000007"/>
    <n v="2056.5"/>
    <n v="2829.1"/>
    <n v="0.37568684658400192"/>
    <n v="-0.65583562443736165"/>
  </r>
  <r>
    <x v="3"/>
    <x v="2"/>
    <n v="9442.6"/>
    <n v="2829.1"/>
    <n v="7826.8"/>
    <n v="1.7665335265632183"/>
    <n v="-0.1711181242454409"/>
  </r>
  <r>
    <x v="4"/>
    <x v="2"/>
    <n v="9494.7999999999993"/>
    <n v="8145.5"/>
    <n v="7826.8"/>
    <n v="-3.9125897734945653E-2"/>
    <n v="-0.17567510637401518"/>
  </r>
  <r>
    <x v="5"/>
    <x v="2"/>
    <n v="9816.5"/>
    <n v="8838.2999999999993"/>
    <n v="8054.9"/>
    <n v="-8.8636955070545212E-2"/>
    <n v="-0.17945296184994655"/>
  </r>
</pivotCacheRecords>
</file>

<file path=xl/pivotCache/pivotCacheRecords2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x v="0"/>
    <x v="0"/>
    <n v="12.288164999999999"/>
    <n v="11.4639376"/>
    <n v="10.25377626"/>
    <n v="-0.10556245002589679"/>
    <n v="-0.16555675644003795"/>
  </r>
  <r>
    <x v="1"/>
    <x v="0"/>
    <n v="11.260040869999999"/>
    <n v="10.303346319999999"/>
    <n v="10.16584274"/>
    <n v="-1.3345526368757335E-2"/>
    <n v="-9.7175324906258437E-2"/>
  </r>
  <r>
    <x v="2"/>
    <x v="0"/>
    <n v="10.790512720000001"/>
    <n v="2.2945331499999999"/>
    <n v="3.2458451500000001"/>
    <n v="0.41459937068244151"/>
    <n v="-0.69919453929340258"/>
  </r>
  <r>
    <x v="3"/>
    <x v="0"/>
    <n v="13.152956039999999"/>
    <n v="3.2458451500000001"/>
    <n v="10.688446190000001"/>
    <n v="2.2929624477002548"/>
    <n v="-0.18737307739074593"/>
  </r>
  <r>
    <x v="4"/>
    <x v="0"/>
    <n v="13.2350665"/>
    <n v="11.409826949999999"/>
    <n v="10.688446190000001"/>
    <n v="-6.322451367240052E-2"/>
    <n v="-0.19241462141501139"/>
  </r>
  <r>
    <x v="5"/>
    <x v="0"/>
    <n v="13.54799075"/>
    <n v="12.29605565"/>
    <n v="11.045129709999999"/>
    <n v="-0.10173391985258298"/>
    <n v="-0.18474038594985023"/>
  </r>
  <r>
    <x v="0"/>
    <x v="1"/>
    <n v="15.745199230000001"/>
    <n v="14.55701058"/>
    <n v="13.232415639999999"/>
    <n v="-9.0993609760775543E-2"/>
    <n v="-0.15959046013290754"/>
  </r>
  <r>
    <x v="1"/>
    <x v="1"/>
    <n v="14.53065526"/>
    <n v="13.27138534"/>
    <n v="13.38295366"/>
    <n v="8.4066822823486743E-3"/>
    <n v="-7.8984848202915764E-2"/>
  </r>
  <r>
    <x v="2"/>
    <x v="1"/>
    <n v="15.07432199"/>
    <n v="3.03451775"/>
    <n v="4.3037592299999998"/>
    <n v="0.41826793730239337"/>
    <n v="-0.71449732645653807"/>
  </r>
  <r>
    <x v="3"/>
    <x v="1"/>
    <n v="16.706220080000001"/>
    <n v="4.3037592299999998"/>
    <n v="13.70674683"/>
    <n v="2.1848312364816"/>
    <n v="-0.17954230434153368"/>
  </r>
  <r>
    <x v="4"/>
    <x v="1"/>
    <n v="16.769254020000002"/>
    <n v="14.48210699"/>
    <n v="13.70674683"/>
    <n v="-5.3539181870109906E-2"/>
    <n v="-0.18262632233654966"/>
  </r>
  <r>
    <x v="5"/>
    <x v="1"/>
    <n v="17.337733050000001"/>
    <n v="15.50144454"/>
    <n v="14.14100262"/>
    <n v="-8.776226734802095E-2"/>
    <n v="-0.1843799544485431"/>
  </r>
  <r>
    <x v="0"/>
    <x v="2"/>
    <n v="15.8130893"/>
    <n v="14.24693263"/>
    <n v="13.264523949999999"/>
    <n v="-6.8955803014841707E-2"/>
    <n v="-0.16116808687091905"/>
  </r>
  <r>
    <x v="1"/>
    <x v="2"/>
    <n v="15.163693800000001"/>
    <n v="13.144265839999999"/>
    <n v="13.199816970000001"/>
    <n v="4.2262634274293819E-3"/>
    <n v="-0.12951177041045236"/>
  </r>
  <r>
    <x v="2"/>
    <x v="2"/>
    <n v="14.435915400000001"/>
    <n v="3.5740037899999999"/>
    <n v="4.9166779600000003"/>
    <n v="0.37567788085641635"/>
    <n v="-0.6594134958701684"/>
  </r>
  <r>
    <x v="3"/>
    <x v="2"/>
    <n v="16.582553440000002"/>
    <n v="4.9166779600000003"/>
    <n v="13.602314379999999"/>
    <n v="1.7665660616096153"/>
    <n v="-0.17972136021049373"/>
  </r>
  <r>
    <x v="4"/>
    <x v="2"/>
    <n v="16.674244460000001"/>
    <n v="14.15616099"/>
    <n v="13.602314379999999"/>
    <n v="-3.9124068339660839E-2"/>
    <n v="-0.18423204046032088"/>
  </r>
  <r>
    <x v="5"/>
    <x v="2"/>
    <n v="17.23928909"/>
    <n v="15.360156269999999"/>
    <n v="13.99875392"/>
    <n v="-8.8632063767408453E-2"/>
    <n v="-0.1879738284497901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36D3CCB-4033-410F-AA50-57393423FA81}" name="MN_SHRPVT1" cacheId="1"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I75:J127" firstHeaderRow="1" firstDataRow="1" firstDataCol="1"/>
  <pivotFields count="7">
    <pivotField axis="axisRow" showAll="0">
      <items count="17">
        <item x="3"/>
        <item x="4"/>
        <item x="0"/>
        <item x="1"/>
        <item x="2"/>
        <item x="5"/>
        <item x="6"/>
        <item x="7"/>
        <item x="8"/>
        <item x="9"/>
        <item x="10"/>
        <item x="11"/>
        <item x="12"/>
        <item x="13"/>
        <item x="14"/>
        <item x="15"/>
        <item t="default"/>
      </items>
    </pivotField>
    <pivotField axis="axisRow" showAll="0">
      <items count="4">
        <item x="2"/>
        <item x="0"/>
        <item x="1"/>
        <item t="default"/>
      </items>
    </pivotField>
    <pivotField numFmtId="3" showAll="0"/>
    <pivotField showAll="0"/>
    <pivotField dataField="1" showAll="0"/>
    <pivotField showAll="0"/>
    <pivotField showAll="0"/>
  </pivotFields>
  <rowFields count="2">
    <field x="1"/>
    <field x="0"/>
  </rowFields>
  <rowItems count="52">
    <i>
      <x/>
    </i>
    <i r="1">
      <x/>
    </i>
    <i r="1">
      <x v="1"/>
    </i>
    <i r="1">
      <x v="2"/>
    </i>
    <i r="1">
      <x v="3"/>
    </i>
    <i r="1">
      <x v="4"/>
    </i>
    <i r="1">
      <x v="5"/>
    </i>
    <i r="1">
      <x v="6"/>
    </i>
    <i r="1">
      <x v="7"/>
    </i>
    <i r="1">
      <x v="8"/>
    </i>
    <i r="1">
      <x v="9"/>
    </i>
    <i r="1">
      <x v="10"/>
    </i>
    <i r="1">
      <x v="11"/>
    </i>
    <i r="1">
      <x v="12"/>
    </i>
    <i r="1">
      <x v="13"/>
    </i>
    <i r="1">
      <x v="14"/>
    </i>
    <i r="1">
      <x v="15"/>
    </i>
    <i>
      <x v="1"/>
    </i>
    <i r="1">
      <x/>
    </i>
    <i r="1">
      <x v="1"/>
    </i>
    <i r="1">
      <x v="2"/>
    </i>
    <i r="1">
      <x v="3"/>
    </i>
    <i r="1">
      <x v="4"/>
    </i>
    <i r="1">
      <x v="5"/>
    </i>
    <i r="1">
      <x v="6"/>
    </i>
    <i r="1">
      <x v="7"/>
    </i>
    <i r="1">
      <x v="8"/>
    </i>
    <i r="1">
      <x v="9"/>
    </i>
    <i r="1">
      <x v="10"/>
    </i>
    <i r="1">
      <x v="11"/>
    </i>
    <i r="1">
      <x v="12"/>
    </i>
    <i r="1">
      <x v="13"/>
    </i>
    <i r="1">
      <x v="14"/>
    </i>
    <i r="1">
      <x v="15"/>
    </i>
    <i>
      <x v="2"/>
    </i>
    <i r="1">
      <x/>
    </i>
    <i r="1">
      <x v="1"/>
    </i>
    <i r="1">
      <x v="2"/>
    </i>
    <i r="1">
      <x v="3"/>
    </i>
    <i r="1">
      <x v="4"/>
    </i>
    <i r="1">
      <x v="5"/>
    </i>
    <i r="1">
      <x v="6"/>
    </i>
    <i r="1">
      <x v="7"/>
    </i>
    <i r="1">
      <x v="8"/>
    </i>
    <i r="1">
      <x v="9"/>
    </i>
    <i r="1">
      <x v="10"/>
    </i>
    <i r="1">
      <x v="11"/>
    </i>
    <i r="1">
      <x v="12"/>
    </i>
    <i r="1">
      <x v="13"/>
    </i>
    <i r="1">
      <x v="14"/>
    </i>
    <i r="1">
      <x v="15"/>
    </i>
    <i t="grand">
      <x/>
    </i>
  </rowItems>
  <colItems count="1">
    <i/>
  </colItems>
  <dataFields count="1">
    <dataField name="SHR %" fld="4"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F3696DA-29AA-4D13-B11C-22CF6C1AC559}" name="MN_HTPCTPVT3" cacheId="4"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AJ130:AJ134" firstHeaderRow="1" firstDataRow="1" firstDataCol="1"/>
  <pivotFields count="7">
    <pivotField showAll="0"/>
    <pivotField axis="axisRow" showAll="0">
      <items count="4">
        <item x="2"/>
        <item x="0"/>
        <item x="1"/>
        <item t="default"/>
      </items>
    </pivotField>
    <pivotField numFmtId="164" showAll="0"/>
    <pivotField showAll="0"/>
    <pivotField showAll="0"/>
    <pivotField showAll="0"/>
    <pivotField showAll="0"/>
  </pivotFields>
  <rowFields count="1">
    <field x="1"/>
  </rowFields>
  <rowItems count="4">
    <i>
      <x/>
    </i>
    <i>
      <x v="1"/>
    </i>
    <i>
      <x v="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C7939FE-219A-4DBB-AEE8-555BE96D49BD}" name="MN_RTGPVT4" cacheId="0" applyNumberFormats="0" applyBorderFormats="0" applyFontFormats="0" applyPatternFormats="0" applyAlignmentFormats="0" applyWidthHeightFormats="1" dataCaption="Values" updatedVersion="8" minRefreshableVersion="3" useAutoFormatting="1" rowGrandTotals="0" itemPrintTitles="1" createdVersion="5" indent="0" showHeaders="0" outline="1" outlineData="1" multipleFieldFilters="0">
  <location ref="BU35:BU50" firstHeaderRow="0" firstDataRow="0" firstDataCol="1"/>
  <pivotFields count="7">
    <pivotField axis="axisRow" showAll="0">
      <items count="17">
        <item x="3"/>
        <item x="4"/>
        <item x="0"/>
        <item x="1"/>
        <item x="2"/>
        <item x="5"/>
        <item x="6"/>
        <item x="7"/>
        <item x="8"/>
        <item x="9"/>
        <item x="10"/>
        <item x="11"/>
        <item x="12"/>
        <item x="13"/>
        <item x="14"/>
        <item x="15"/>
        <item t="default"/>
      </items>
    </pivotField>
    <pivotField showAll="0"/>
    <pivotField numFmtId="164" showAll="0"/>
    <pivotField showAll="0"/>
    <pivotField showAll="0"/>
    <pivotField showAll="0"/>
    <pivotField showAll="0"/>
  </pivotFields>
  <rowFields count="1">
    <field x="0"/>
  </rowFields>
  <rowItems count="16">
    <i>
      <x/>
    </i>
    <i>
      <x v="1"/>
    </i>
    <i>
      <x v="2"/>
    </i>
    <i>
      <x v="3"/>
    </i>
    <i>
      <x v="4"/>
    </i>
    <i>
      <x v="5"/>
    </i>
    <i>
      <x v="6"/>
    </i>
    <i>
      <x v="7"/>
    </i>
    <i>
      <x v="8"/>
    </i>
    <i>
      <x v="9"/>
    </i>
    <i>
      <x v="10"/>
    </i>
    <i>
      <x v="11"/>
    </i>
    <i>
      <x v="12"/>
    </i>
    <i>
      <x v="13"/>
    </i>
    <i>
      <x v="14"/>
    </i>
    <i>
      <x v="15"/>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4733C9E-16DD-4BD2-8498-42779D1008D0}" name="MN_IMPPVT1" cacheId="2"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Q75:R127" firstHeaderRow="1" firstDataRow="1" firstDataCol="1"/>
  <pivotFields count="7">
    <pivotField axis="axisRow" showAll="0">
      <items count="17">
        <item x="3"/>
        <item x="4"/>
        <item x="0"/>
        <item x="1"/>
        <item x="2"/>
        <item x="5"/>
        <item x="6"/>
        <item x="7"/>
        <item x="8"/>
        <item x="9"/>
        <item x="10"/>
        <item x="11"/>
        <item x="12"/>
        <item x="13"/>
        <item x="14"/>
        <item x="15"/>
        <item t="default"/>
      </items>
    </pivotField>
    <pivotField axis="axisRow" showAll="0">
      <items count="4">
        <item x="2"/>
        <item x="0"/>
        <item x="1"/>
        <item t="default"/>
      </items>
    </pivotField>
    <pivotField numFmtId="3" showAll="0"/>
    <pivotField showAll="0"/>
    <pivotField dataField="1" showAll="0"/>
    <pivotField showAll="0"/>
    <pivotField showAll="0"/>
  </pivotFields>
  <rowFields count="2">
    <field x="1"/>
    <field x="0"/>
  </rowFields>
  <rowItems count="52">
    <i>
      <x/>
    </i>
    <i r="1">
      <x/>
    </i>
    <i r="1">
      <x v="1"/>
    </i>
    <i r="1">
      <x v="2"/>
    </i>
    <i r="1">
      <x v="3"/>
    </i>
    <i r="1">
      <x v="4"/>
    </i>
    <i r="1">
      <x v="5"/>
    </i>
    <i r="1">
      <x v="6"/>
    </i>
    <i r="1">
      <x v="7"/>
    </i>
    <i r="1">
      <x v="8"/>
    </i>
    <i r="1">
      <x v="9"/>
    </i>
    <i r="1">
      <x v="10"/>
    </i>
    <i r="1">
      <x v="11"/>
    </i>
    <i r="1">
      <x v="12"/>
    </i>
    <i r="1">
      <x v="13"/>
    </i>
    <i r="1">
      <x v="14"/>
    </i>
    <i r="1">
      <x v="15"/>
    </i>
    <i>
      <x v="1"/>
    </i>
    <i r="1">
      <x/>
    </i>
    <i r="1">
      <x v="1"/>
    </i>
    <i r="1">
      <x v="2"/>
    </i>
    <i r="1">
      <x v="3"/>
    </i>
    <i r="1">
      <x v="4"/>
    </i>
    <i r="1">
      <x v="5"/>
    </i>
    <i r="1">
      <x v="6"/>
    </i>
    <i r="1">
      <x v="7"/>
    </i>
    <i r="1">
      <x v="8"/>
    </i>
    <i r="1">
      <x v="9"/>
    </i>
    <i r="1">
      <x v="10"/>
    </i>
    <i r="1">
      <x v="11"/>
    </i>
    <i r="1">
      <x v="12"/>
    </i>
    <i r="1">
      <x v="13"/>
    </i>
    <i r="1">
      <x v="14"/>
    </i>
    <i r="1">
      <x v="15"/>
    </i>
    <i>
      <x v="2"/>
    </i>
    <i r="1">
      <x/>
    </i>
    <i r="1">
      <x v="1"/>
    </i>
    <i r="1">
      <x v="2"/>
    </i>
    <i r="1">
      <x v="3"/>
    </i>
    <i r="1">
      <x v="4"/>
    </i>
    <i r="1">
      <x v="5"/>
    </i>
    <i r="1">
      <x v="6"/>
    </i>
    <i r="1">
      <x v="7"/>
    </i>
    <i r="1">
      <x v="8"/>
    </i>
    <i r="1">
      <x v="9"/>
    </i>
    <i r="1">
      <x v="10"/>
    </i>
    <i r="1">
      <x v="11"/>
    </i>
    <i r="1">
      <x v="12"/>
    </i>
    <i r="1">
      <x v="13"/>
    </i>
    <i r="1">
      <x v="14"/>
    </i>
    <i r="1">
      <x v="15"/>
    </i>
    <i t="grand">
      <x/>
    </i>
  </rowItems>
  <colItems count="1">
    <i/>
  </colItems>
  <dataFields count="1">
    <dataField name="IMP"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0BB01E1-6C81-428C-88A0-67B8EAF47AAE}" name="MN_HTIMPPVT2" cacheId="3"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AB75:AE127" firstHeaderRow="0" firstDataRow="1" firstDataCol="1"/>
  <pivotFields count="7">
    <pivotField axis="axisRow" showAll="0">
      <items count="17">
        <item x="3"/>
        <item x="4"/>
        <item x="0"/>
        <item x="1"/>
        <item x="2"/>
        <item x="5"/>
        <item x="6"/>
        <item x="7"/>
        <item x="8"/>
        <item x="9"/>
        <item x="10"/>
        <item x="11"/>
        <item x="12"/>
        <item x="13"/>
        <item x="14"/>
        <item x="15"/>
        <item t="default"/>
      </items>
    </pivotField>
    <pivotField axis="axisRow" showAll="0">
      <items count="4">
        <item x="2"/>
        <item x="0"/>
        <item x="1"/>
        <item t="default"/>
      </items>
    </pivotField>
    <pivotField dataField="1" numFmtId="3" showAll="0"/>
    <pivotField dataField="1" showAll="0"/>
    <pivotField dataField="1" showAll="0"/>
    <pivotField showAll="0"/>
    <pivotField showAll="0"/>
  </pivotFields>
  <rowFields count="2">
    <field x="1"/>
    <field x="0"/>
  </rowFields>
  <rowItems count="52">
    <i>
      <x/>
    </i>
    <i r="1">
      <x/>
    </i>
    <i r="1">
      <x v="1"/>
    </i>
    <i r="1">
      <x v="2"/>
    </i>
    <i r="1">
      <x v="3"/>
    </i>
    <i r="1">
      <x v="4"/>
    </i>
    <i r="1">
      <x v="5"/>
    </i>
    <i r="1">
      <x v="6"/>
    </i>
    <i r="1">
      <x v="7"/>
    </i>
    <i r="1">
      <x v="8"/>
    </i>
    <i r="1">
      <x v="9"/>
    </i>
    <i r="1">
      <x v="10"/>
    </i>
    <i r="1">
      <x v="11"/>
    </i>
    <i r="1">
      <x v="12"/>
    </i>
    <i r="1">
      <x v="13"/>
    </i>
    <i r="1">
      <x v="14"/>
    </i>
    <i r="1">
      <x v="15"/>
    </i>
    <i>
      <x v="1"/>
    </i>
    <i r="1">
      <x/>
    </i>
    <i r="1">
      <x v="1"/>
    </i>
    <i r="1">
      <x v="2"/>
    </i>
    <i r="1">
      <x v="3"/>
    </i>
    <i r="1">
      <x v="4"/>
    </i>
    <i r="1">
      <x v="5"/>
    </i>
    <i r="1">
      <x v="6"/>
    </i>
    <i r="1">
      <x v="7"/>
    </i>
    <i r="1">
      <x v="8"/>
    </i>
    <i r="1">
      <x v="9"/>
    </i>
    <i r="1">
      <x v="10"/>
    </i>
    <i r="1">
      <x v="11"/>
    </i>
    <i r="1">
      <x v="12"/>
    </i>
    <i r="1">
      <x v="13"/>
    </i>
    <i r="1">
      <x v="14"/>
    </i>
    <i r="1">
      <x v="15"/>
    </i>
    <i>
      <x v="2"/>
    </i>
    <i r="1">
      <x/>
    </i>
    <i r="1">
      <x v="1"/>
    </i>
    <i r="1">
      <x v="2"/>
    </i>
    <i r="1">
      <x v="3"/>
    </i>
    <i r="1">
      <x v="4"/>
    </i>
    <i r="1">
      <x v="5"/>
    </i>
    <i r="1">
      <x v="6"/>
    </i>
    <i r="1">
      <x v="7"/>
    </i>
    <i r="1">
      <x v="8"/>
    </i>
    <i r="1">
      <x v="9"/>
    </i>
    <i r="1">
      <x v="10"/>
    </i>
    <i r="1">
      <x v="11"/>
    </i>
    <i r="1">
      <x v="12"/>
    </i>
    <i r="1">
      <x v="13"/>
    </i>
    <i r="1">
      <x v="14"/>
    </i>
    <i r="1">
      <x v="15"/>
    </i>
    <i t="grand">
      <x/>
    </i>
  </rowItems>
  <colFields count="1">
    <field x="-2"/>
  </colFields>
  <colItems count="3">
    <i>
      <x/>
    </i>
    <i i="1">
      <x v="1"/>
    </i>
    <i i="2">
      <x v="2"/>
    </i>
  </colItems>
  <dataFields count="3">
    <dataField name="Last Year" fld="2" baseField="0" baseItem="0"/>
    <dataField name="Last Month" fld="3" baseField="0" baseItem="0"/>
    <dataField name="Curren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6A22DBC-EFB4-4691-9F85-1F3A30A7EF48}" name="MN_HTPCTPVT2" cacheId="4"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AJ75:AM127" firstHeaderRow="0" firstDataRow="1" firstDataCol="1"/>
  <pivotFields count="7">
    <pivotField axis="axisRow" showAll="0">
      <items count="17">
        <item x="3"/>
        <item x="4"/>
        <item x="0"/>
        <item x="1"/>
        <item x="2"/>
        <item x="5"/>
        <item x="6"/>
        <item x="7"/>
        <item x="8"/>
        <item x="9"/>
        <item x="10"/>
        <item x="11"/>
        <item x="12"/>
        <item x="13"/>
        <item x="14"/>
        <item x="15"/>
        <item t="default"/>
      </items>
    </pivotField>
    <pivotField axis="axisRow" showAll="0">
      <items count="4">
        <item x="2"/>
        <item x="0"/>
        <item x="1"/>
        <item t="default"/>
      </items>
    </pivotField>
    <pivotField dataField="1" numFmtId="164" showAll="0"/>
    <pivotField dataField="1" showAll="0"/>
    <pivotField dataField="1" showAll="0"/>
    <pivotField showAll="0"/>
    <pivotField showAll="0"/>
  </pivotFields>
  <rowFields count="2">
    <field x="1"/>
    <field x="0"/>
  </rowFields>
  <rowItems count="52">
    <i>
      <x/>
    </i>
    <i r="1">
      <x/>
    </i>
    <i r="1">
      <x v="1"/>
    </i>
    <i r="1">
      <x v="2"/>
    </i>
    <i r="1">
      <x v="3"/>
    </i>
    <i r="1">
      <x v="4"/>
    </i>
    <i r="1">
      <x v="5"/>
    </i>
    <i r="1">
      <x v="6"/>
    </i>
    <i r="1">
      <x v="7"/>
    </i>
    <i r="1">
      <x v="8"/>
    </i>
    <i r="1">
      <x v="9"/>
    </i>
    <i r="1">
      <x v="10"/>
    </i>
    <i r="1">
      <x v="11"/>
    </i>
    <i r="1">
      <x v="12"/>
    </i>
    <i r="1">
      <x v="13"/>
    </i>
    <i r="1">
      <x v="14"/>
    </i>
    <i r="1">
      <x v="15"/>
    </i>
    <i>
      <x v="1"/>
    </i>
    <i r="1">
      <x/>
    </i>
    <i r="1">
      <x v="1"/>
    </i>
    <i r="1">
      <x v="2"/>
    </i>
    <i r="1">
      <x v="3"/>
    </i>
    <i r="1">
      <x v="4"/>
    </i>
    <i r="1">
      <x v="5"/>
    </i>
    <i r="1">
      <x v="6"/>
    </i>
    <i r="1">
      <x v="7"/>
    </i>
    <i r="1">
      <x v="8"/>
    </i>
    <i r="1">
      <x v="9"/>
    </i>
    <i r="1">
      <x v="10"/>
    </i>
    <i r="1">
      <x v="11"/>
    </i>
    <i r="1">
      <x v="12"/>
    </i>
    <i r="1">
      <x v="13"/>
    </i>
    <i r="1">
      <x v="14"/>
    </i>
    <i r="1">
      <x v="15"/>
    </i>
    <i>
      <x v="2"/>
    </i>
    <i r="1">
      <x/>
    </i>
    <i r="1">
      <x v="1"/>
    </i>
    <i r="1">
      <x v="2"/>
    </i>
    <i r="1">
      <x v="3"/>
    </i>
    <i r="1">
      <x v="4"/>
    </i>
    <i r="1">
      <x v="5"/>
    </i>
    <i r="1">
      <x v="6"/>
    </i>
    <i r="1">
      <x v="7"/>
    </i>
    <i r="1">
      <x v="8"/>
    </i>
    <i r="1">
      <x v="9"/>
    </i>
    <i r="1">
      <x v="10"/>
    </i>
    <i r="1">
      <x v="11"/>
    </i>
    <i r="1">
      <x v="12"/>
    </i>
    <i r="1">
      <x v="13"/>
    </i>
    <i r="1">
      <x v="14"/>
    </i>
    <i r="1">
      <x v="15"/>
    </i>
    <i t="grand">
      <x/>
    </i>
  </rowItems>
  <colFields count="1">
    <field x="-2"/>
  </colFields>
  <colItems count="3">
    <i>
      <x/>
    </i>
    <i i="1">
      <x v="1"/>
    </i>
    <i i="2">
      <x v="2"/>
    </i>
  </colItems>
  <dataFields count="3">
    <dataField name="Last Year" fld="2" baseField="0" baseItem="0" numFmtId="2"/>
    <dataField name="Last Month" fld="3" baseField="0" baseItem="0" numFmtId="2"/>
    <dataField name="Current" fld="4"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43605DE-4C0C-4B09-9077-26841374E0B2}" name="MN_RTGPVT3" cacheId="0"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D130:D134" firstHeaderRow="1" firstDataRow="1" firstDataCol="1"/>
  <pivotFields count="7">
    <pivotField showAll="0"/>
    <pivotField axis="axisRow" showAll="0">
      <items count="4">
        <item x="2"/>
        <item x="0"/>
        <item x="1"/>
        <item t="default"/>
      </items>
    </pivotField>
    <pivotField numFmtId="164" showAll="0"/>
    <pivotField showAll="0"/>
    <pivotField showAll="0"/>
    <pivotField showAll="0"/>
    <pivotField showAll="0"/>
  </pivotFields>
  <rowFields count="1">
    <field x="1"/>
  </rowFields>
  <rowItems count="4">
    <i>
      <x/>
    </i>
    <i>
      <x v="1"/>
    </i>
    <i>
      <x v="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618D516-F1BB-4257-BC77-802157A8C842}" name="MN_SHRPVT4" cacheId="1" applyNumberFormats="0" applyBorderFormats="0" applyFontFormats="0" applyPatternFormats="0" applyAlignmentFormats="0" applyWidthHeightFormats="1" dataCaption="Values" updatedVersion="8" minRefreshableVersion="3" useAutoFormatting="1" rowGrandTotals="0" itemPrintTitles="1" createdVersion="5" indent="0" showHeaders="0" outline="1" outlineData="1" multipleFieldFilters="0">
  <location ref="CA35:CA50" firstHeaderRow="0" firstDataRow="0" firstDataCol="1"/>
  <pivotFields count="7">
    <pivotField axis="axisRow" showAll="0">
      <items count="17">
        <item x="3"/>
        <item x="4"/>
        <item x="0"/>
        <item x="1"/>
        <item x="2"/>
        <item x="5"/>
        <item x="6"/>
        <item x="7"/>
        <item x="8"/>
        <item x="9"/>
        <item x="10"/>
        <item x="11"/>
        <item x="12"/>
        <item x="13"/>
        <item x="14"/>
        <item x="15"/>
        <item t="default"/>
      </items>
    </pivotField>
    <pivotField showAll="0"/>
    <pivotField numFmtId="3" showAll="0"/>
    <pivotField showAll="0"/>
    <pivotField showAll="0"/>
    <pivotField showAll="0"/>
    <pivotField showAll="0"/>
  </pivotFields>
  <rowFields count="1">
    <field x="0"/>
  </rowFields>
  <rowItems count="16">
    <i>
      <x/>
    </i>
    <i>
      <x v="1"/>
    </i>
    <i>
      <x v="2"/>
    </i>
    <i>
      <x v="3"/>
    </i>
    <i>
      <x v="4"/>
    </i>
    <i>
      <x v="5"/>
    </i>
    <i>
      <x v="6"/>
    </i>
    <i>
      <x v="7"/>
    </i>
    <i>
      <x v="8"/>
    </i>
    <i>
      <x v="9"/>
    </i>
    <i>
      <x v="10"/>
    </i>
    <i>
      <x v="11"/>
    </i>
    <i>
      <x v="12"/>
    </i>
    <i>
      <x v="13"/>
    </i>
    <i>
      <x v="14"/>
    </i>
    <i>
      <x v="15"/>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0F97A1D-646B-4F35-9891-A4A1AFDF62F9}" name="MN_HTIMPPVT1" cacheId="3"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Y75:Z127" firstHeaderRow="1" firstDataRow="1" firstDataCol="1"/>
  <pivotFields count="7">
    <pivotField axis="axisRow" showAll="0">
      <items count="17">
        <item x="3"/>
        <item x="4"/>
        <item x="0"/>
        <item x="1"/>
        <item x="2"/>
        <item x="5"/>
        <item x="6"/>
        <item x="7"/>
        <item x="8"/>
        <item x="9"/>
        <item x="10"/>
        <item x="11"/>
        <item x="12"/>
        <item x="13"/>
        <item x="14"/>
        <item x="15"/>
        <item t="default"/>
      </items>
    </pivotField>
    <pivotField axis="axisRow" showAll="0">
      <items count="4">
        <item x="2"/>
        <item x="0"/>
        <item x="1"/>
        <item t="default"/>
      </items>
    </pivotField>
    <pivotField numFmtId="3" showAll="0"/>
    <pivotField showAll="0"/>
    <pivotField dataField="1" showAll="0"/>
    <pivotField showAll="0"/>
    <pivotField showAll="0"/>
  </pivotFields>
  <rowFields count="2">
    <field x="1"/>
    <field x="0"/>
  </rowFields>
  <rowItems count="52">
    <i>
      <x/>
    </i>
    <i r="1">
      <x/>
    </i>
    <i r="1">
      <x v="1"/>
    </i>
    <i r="1">
      <x v="2"/>
    </i>
    <i r="1">
      <x v="3"/>
    </i>
    <i r="1">
      <x v="4"/>
    </i>
    <i r="1">
      <x v="5"/>
    </i>
    <i r="1">
      <x v="6"/>
    </i>
    <i r="1">
      <x v="7"/>
    </i>
    <i r="1">
      <x v="8"/>
    </i>
    <i r="1">
      <x v="9"/>
    </i>
    <i r="1">
      <x v="10"/>
    </i>
    <i r="1">
      <x v="11"/>
    </i>
    <i r="1">
      <x v="12"/>
    </i>
    <i r="1">
      <x v="13"/>
    </i>
    <i r="1">
      <x v="14"/>
    </i>
    <i r="1">
      <x v="15"/>
    </i>
    <i>
      <x v="1"/>
    </i>
    <i r="1">
      <x/>
    </i>
    <i r="1">
      <x v="1"/>
    </i>
    <i r="1">
      <x v="2"/>
    </i>
    <i r="1">
      <x v="3"/>
    </i>
    <i r="1">
      <x v="4"/>
    </i>
    <i r="1">
      <x v="5"/>
    </i>
    <i r="1">
      <x v="6"/>
    </i>
    <i r="1">
      <x v="7"/>
    </i>
    <i r="1">
      <x v="8"/>
    </i>
    <i r="1">
      <x v="9"/>
    </i>
    <i r="1">
      <x v="10"/>
    </i>
    <i r="1">
      <x v="11"/>
    </i>
    <i r="1">
      <x v="12"/>
    </i>
    <i r="1">
      <x v="13"/>
    </i>
    <i r="1">
      <x v="14"/>
    </i>
    <i r="1">
      <x v="15"/>
    </i>
    <i>
      <x v="2"/>
    </i>
    <i r="1">
      <x/>
    </i>
    <i r="1">
      <x v="1"/>
    </i>
    <i r="1">
      <x v="2"/>
    </i>
    <i r="1">
      <x v="3"/>
    </i>
    <i r="1">
      <x v="4"/>
    </i>
    <i r="1">
      <x v="5"/>
    </i>
    <i r="1">
      <x v="6"/>
    </i>
    <i r="1">
      <x v="7"/>
    </i>
    <i r="1">
      <x v="8"/>
    </i>
    <i r="1">
      <x v="9"/>
    </i>
    <i r="1">
      <x v="10"/>
    </i>
    <i r="1">
      <x v="11"/>
    </i>
    <i r="1">
      <x v="12"/>
    </i>
    <i r="1">
      <x v="13"/>
    </i>
    <i r="1">
      <x v="14"/>
    </i>
    <i r="1">
      <x v="15"/>
    </i>
    <i t="grand">
      <x/>
    </i>
  </rowItems>
  <colItems count="1">
    <i/>
  </colItems>
  <dataFields count="1">
    <dataField name="H/P IMP"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1577FD1-F46B-4E0B-A716-46AF675A5D50}" name="MN_SHRPVT3" cacheId="1"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L130:L134" firstHeaderRow="1" firstDataRow="1" firstDataCol="1"/>
  <pivotFields count="7">
    <pivotField showAll="0"/>
    <pivotField axis="axisRow" showAll="0">
      <items count="4">
        <item x="2"/>
        <item x="0"/>
        <item x="1"/>
        <item t="default"/>
      </items>
    </pivotField>
    <pivotField numFmtId="3" showAll="0"/>
    <pivotField showAll="0"/>
    <pivotField showAll="0"/>
    <pivotField showAll="0"/>
    <pivotField showAll="0"/>
  </pivotFields>
  <rowFields count="1">
    <field x="1"/>
  </rowFields>
  <rowItems count="4">
    <i>
      <x/>
    </i>
    <i>
      <x v="1"/>
    </i>
    <i>
      <x v="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C8C152E-8689-4801-94EF-A3D41FD4528E}" name="MN_IMPPVT4" cacheId="2" applyNumberFormats="0" applyBorderFormats="0" applyFontFormats="0" applyPatternFormats="0" applyAlignmentFormats="0" applyWidthHeightFormats="1" dataCaption="Values" updatedVersion="8" minRefreshableVersion="3" useAutoFormatting="1" rowGrandTotals="0" itemPrintTitles="1" createdVersion="5" indent="0" showHeaders="0" outline="1" outlineData="1" multipleFieldFilters="0">
  <location ref="CG35:CG50" firstHeaderRow="0" firstDataRow="0" firstDataCol="1"/>
  <pivotFields count="7">
    <pivotField axis="axisRow" showAll="0">
      <items count="17">
        <item x="3"/>
        <item x="4"/>
        <item x="0"/>
        <item x="1"/>
        <item x="2"/>
        <item x="5"/>
        <item x="6"/>
        <item x="7"/>
        <item x="8"/>
        <item x="9"/>
        <item x="10"/>
        <item x="11"/>
        <item x="12"/>
        <item x="13"/>
        <item x="14"/>
        <item x="15"/>
        <item t="default"/>
      </items>
    </pivotField>
    <pivotField showAll="0"/>
    <pivotField numFmtId="3" showAll="0"/>
    <pivotField showAll="0"/>
    <pivotField showAll="0"/>
    <pivotField showAll="0"/>
    <pivotField showAll="0"/>
  </pivotFields>
  <rowFields count="1">
    <field x="0"/>
  </rowFields>
  <rowItems count="16">
    <i>
      <x/>
    </i>
    <i>
      <x v="1"/>
    </i>
    <i>
      <x v="2"/>
    </i>
    <i>
      <x v="3"/>
    </i>
    <i>
      <x v="4"/>
    </i>
    <i>
      <x v="5"/>
    </i>
    <i>
      <x v="6"/>
    </i>
    <i>
      <x v="7"/>
    </i>
    <i>
      <x v="8"/>
    </i>
    <i>
      <x v="9"/>
    </i>
    <i>
      <x v="10"/>
    </i>
    <i>
      <x v="11"/>
    </i>
    <i>
      <x v="12"/>
    </i>
    <i>
      <x v="13"/>
    </i>
    <i>
      <x v="14"/>
    </i>
    <i>
      <x v="15"/>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ACDF1C7-92A5-4B64-948F-586BA03D3C16}" name="MN_HTPCTPVT1" cacheId="4"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AG75:AH127" firstHeaderRow="1" firstDataRow="1" firstDataCol="1"/>
  <pivotFields count="7">
    <pivotField axis="axisRow" showAll="0">
      <items count="17">
        <item x="3"/>
        <item x="4"/>
        <item x="0"/>
        <item x="1"/>
        <item x="2"/>
        <item x="5"/>
        <item x="6"/>
        <item x="7"/>
        <item x="8"/>
        <item x="9"/>
        <item x="10"/>
        <item x="11"/>
        <item x="12"/>
        <item x="13"/>
        <item x="14"/>
        <item x="15"/>
        <item t="default"/>
      </items>
    </pivotField>
    <pivotField axis="axisRow" showAll="0">
      <items count="4">
        <item x="2"/>
        <item x="0"/>
        <item x="1"/>
        <item t="default"/>
      </items>
    </pivotField>
    <pivotField numFmtId="164" showAll="0"/>
    <pivotField showAll="0"/>
    <pivotField dataField="1" showAll="0"/>
    <pivotField showAll="0"/>
    <pivotField showAll="0"/>
  </pivotFields>
  <rowFields count="2">
    <field x="1"/>
    <field x="0"/>
  </rowFields>
  <rowItems count="52">
    <i>
      <x/>
    </i>
    <i r="1">
      <x/>
    </i>
    <i r="1">
      <x v="1"/>
    </i>
    <i r="1">
      <x v="2"/>
    </i>
    <i r="1">
      <x v="3"/>
    </i>
    <i r="1">
      <x v="4"/>
    </i>
    <i r="1">
      <x v="5"/>
    </i>
    <i r="1">
      <x v="6"/>
    </i>
    <i r="1">
      <x v="7"/>
    </i>
    <i r="1">
      <x v="8"/>
    </i>
    <i r="1">
      <x v="9"/>
    </i>
    <i r="1">
      <x v="10"/>
    </i>
    <i r="1">
      <x v="11"/>
    </i>
    <i r="1">
      <x v="12"/>
    </i>
    <i r="1">
      <x v="13"/>
    </i>
    <i r="1">
      <x v="14"/>
    </i>
    <i r="1">
      <x v="15"/>
    </i>
    <i>
      <x v="1"/>
    </i>
    <i r="1">
      <x/>
    </i>
    <i r="1">
      <x v="1"/>
    </i>
    <i r="1">
      <x v="2"/>
    </i>
    <i r="1">
      <x v="3"/>
    </i>
    <i r="1">
      <x v="4"/>
    </i>
    <i r="1">
      <x v="5"/>
    </i>
    <i r="1">
      <x v="6"/>
    </i>
    <i r="1">
      <x v="7"/>
    </i>
    <i r="1">
      <x v="8"/>
    </i>
    <i r="1">
      <x v="9"/>
    </i>
    <i r="1">
      <x v="10"/>
    </i>
    <i r="1">
      <x v="11"/>
    </i>
    <i r="1">
      <x v="12"/>
    </i>
    <i r="1">
      <x v="13"/>
    </i>
    <i r="1">
      <x v="14"/>
    </i>
    <i r="1">
      <x v="15"/>
    </i>
    <i>
      <x v="2"/>
    </i>
    <i r="1">
      <x/>
    </i>
    <i r="1">
      <x v="1"/>
    </i>
    <i r="1">
      <x v="2"/>
    </i>
    <i r="1">
      <x v="3"/>
    </i>
    <i r="1">
      <x v="4"/>
    </i>
    <i r="1">
      <x v="5"/>
    </i>
    <i r="1">
      <x v="6"/>
    </i>
    <i r="1">
      <x v="7"/>
    </i>
    <i r="1">
      <x v="8"/>
    </i>
    <i r="1">
      <x v="9"/>
    </i>
    <i r="1">
      <x v="10"/>
    </i>
    <i r="1">
      <x v="11"/>
    </i>
    <i r="1">
      <x v="12"/>
    </i>
    <i r="1">
      <x v="13"/>
    </i>
    <i r="1">
      <x v="14"/>
    </i>
    <i r="1">
      <x v="15"/>
    </i>
    <i t="grand">
      <x/>
    </i>
  </rowItems>
  <colItems count="1">
    <i/>
  </colItems>
  <dataFields count="1">
    <dataField name="H/P %" fld="4"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59CA626-6BD7-4FE3-9A82-E686DC519E82}" name="MN_RTGPVT2" cacheId="0"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9">
  <location ref="D75:G127" firstHeaderRow="0" firstDataRow="1" firstDataCol="1"/>
  <pivotFields count="7">
    <pivotField axis="axisRow" showAll="0">
      <items count="17">
        <item x="3"/>
        <item x="4"/>
        <item x="0"/>
        <item x="1"/>
        <item x="2"/>
        <item x="5"/>
        <item x="6"/>
        <item x="7"/>
        <item x="8"/>
        <item x="9"/>
        <item x="10"/>
        <item x="11"/>
        <item x="12"/>
        <item x="13"/>
        <item x="14"/>
        <item x="15"/>
        <item t="default"/>
      </items>
    </pivotField>
    <pivotField axis="axisRow" showAll="0">
      <items count="4">
        <item x="2"/>
        <item x="0"/>
        <item x="1"/>
        <item t="default"/>
      </items>
    </pivotField>
    <pivotField dataField="1" numFmtId="164" showAll="0"/>
    <pivotField dataField="1" showAll="0"/>
    <pivotField dataField="1" showAll="0"/>
    <pivotField showAll="0"/>
    <pivotField showAll="0"/>
  </pivotFields>
  <rowFields count="2">
    <field x="1"/>
    <field x="0"/>
  </rowFields>
  <rowItems count="52">
    <i>
      <x/>
    </i>
    <i r="1">
      <x/>
    </i>
    <i r="1">
      <x v="1"/>
    </i>
    <i r="1">
      <x v="2"/>
    </i>
    <i r="1">
      <x v="3"/>
    </i>
    <i r="1">
      <x v="4"/>
    </i>
    <i r="1">
      <x v="5"/>
    </i>
    <i r="1">
      <x v="6"/>
    </i>
    <i r="1">
      <x v="7"/>
    </i>
    <i r="1">
      <x v="8"/>
    </i>
    <i r="1">
      <x v="9"/>
    </i>
    <i r="1">
      <x v="10"/>
    </i>
    <i r="1">
      <x v="11"/>
    </i>
    <i r="1">
      <x v="12"/>
    </i>
    <i r="1">
      <x v="13"/>
    </i>
    <i r="1">
      <x v="14"/>
    </i>
    <i r="1">
      <x v="15"/>
    </i>
    <i>
      <x v="1"/>
    </i>
    <i r="1">
      <x/>
    </i>
    <i r="1">
      <x v="1"/>
    </i>
    <i r="1">
      <x v="2"/>
    </i>
    <i r="1">
      <x v="3"/>
    </i>
    <i r="1">
      <x v="4"/>
    </i>
    <i r="1">
      <x v="5"/>
    </i>
    <i r="1">
      <x v="6"/>
    </i>
    <i r="1">
      <x v="7"/>
    </i>
    <i r="1">
      <x v="8"/>
    </i>
    <i r="1">
      <x v="9"/>
    </i>
    <i r="1">
      <x v="10"/>
    </i>
    <i r="1">
      <x v="11"/>
    </i>
    <i r="1">
      <x v="12"/>
    </i>
    <i r="1">
      <x v="13"/>
    </i>
    <i r="1">
      <x v="14"/>
    </i>
    <i r="1">
      <x v="15"/>
    </i>
    <i>
      <x v="2"/>
    </i>
    <i r="1">
      <x/>
    </i>
    <i r="1">
      <x v="1"/>
    </i>
    <i r="1">
      <x v="2"/>
    </i>
    <i r="1">
      <x v="3"/>
    </i>
    <i r="1">
      <x v="4"/>
    </i>
    <i r="1">
      <x v="5"/>
    </i>
    <i r="1">
      <x v="6"/>
    </i>
    <i r="1">
      <x v="7"/>
    </i>
    <i r="1">
      <x v="8"/>
    </i>
    <i r="1">
      <x v="9"/>
    </i>
    <i r="1">
      <x v="10"/>
    </i>
    <i r="1">
      <x v="11"/>
    </i>
    <i r="1">
      <x v="12"/>
    </i>
    <i r="1">
      <x v="13"/>
    </i>
    <i r="1">
      <x v="14"/>
    </i>
    <i r="1">
      <x v="15"/>
    </i>
    <i t="grand">
      <x/>
    </i>
  </rowItems>
  <colFields count="1">
    <field x="-2"/>
  </colFields>
  <colItems count="3">
    <i>
      <x/>
    </i>
    <i i="1">
      <x v="1"/>
    </i>
    <i i="2">
      <x v="2"/>
    </i>
  </colItems>
  <dataFields count="3">
    <dataField name="Last Year" fld="2" baseField="0" baseItem="0" numFmtId="2"/>
    <dataField name="Last Month" fld="3" baseField="0" baseItem="0" numFmtId="2"/>
    <dataField name="Current" fld="4"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335672D9-D11E-4986-BAF6-CB37DE3A8C3B}" name="MN_IMPPVT3" cacheId="2"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T130:T134" firstHeaderRow="1" firstDataRow="1" firstDataCol="1"/>
  <pivotFields count="7">
    <pivotField showAll="0"/>
    <pivotField axis="axisRow" showAll="0">
      <items count="4">
        <item x="2"/>
        <item x="0"/>
        <item x="1"/>
        <item t="default"/>
      </items>
    </pivotField>
    <pivotField numFmtId="3" showAll="0"/>
    <pivotField showAll="0"/>
    <pivotField showAll="0"/>
    <pivotField showAll="0"/>
    <pivotField showAll="0"/>
  </pivotFields>
  <rowFields count="1">
    <field x="1"/>
  </rowFields>
  <rowItems count="4">
    <i>
      <x/>
    </i>
    <i>
      <x v="1"/>
    </i>
    <i>
      <x v="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86BCAF3F-98AA-4419-9BF6-9FE21A44C937}" name="MN_SHRPVT2" cacheId="1"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L75:O127" firstHeaderRow="0" firstDataRow="1" firstDataCol="1"/>
  <pivotFields count="7">
    <pivotField axis="axisRow" showAll="0">
      <items count="17">
        <item x="3"/>
        <item x="4"/>
        <item x="0"/>
        <item x="1"/>
        <item x="2"/>
        <item x="5"/>
        <item x="6"/>
        <item x="7"/>
        <item x="8"/>
        <item x="9"/>
        <item x="10"/>
        <item x="11"/>
        <item x="12"/>
        <item x="13"/>
        <item x="14"/>
        <item x="15"/>
        <item t="default"/>
      </items>
    </pivotField>
    <pivotField axis="axisRow" showAll="0">
      <items count="4">
        <item x="2"/>
        <item x="0"/>
        <item x="1"/>
        <item t="default"/>
      </items>
    </pivotField>
    <pivotField dataField="1" numFmtId="3" showAll="0"/>
    <pivotField dataField="1" showAll="0"/>
    <pivotField dataField="1" showAll="0"/>
    <pivotField showAll="0"/>
    <pivotField showAll="0"/>
  </pivotFields>
  <rowFields count="2">
    <field x="1"/>
    <field x="0"/>
  </rowFields>
  <rowItems count="52">
    <i>
      <x/>
    </i>
    <i r="1">
      <x/>
    </i>
    <i r="1">
      <x v="1"/>
    </i>
    <i r="1">
      <x v="2"/>
    </i>
    <i r="1">
      <x v="3"/>
    </i>
    <i r="1">
      <x v="4"/>
    </i>
    <i r="1">
      <x v="5"/>
    </i>
    <i r="1">
      <x v="6"/>
    </i>
    <i r="1">
      <x v="7"/>
    </i>
    <i r="1">
      <x v="8"/>
    </i>
    <i r="1">
      <x v="9"/>
    </i>
    <i r="1">
      <x v="10"/>
    </i>
    <i r="1">
      <x v="11"/>
    </i>
    <i r="1">
      <x v="12"/>
    </i>
    <i r="1">
      <x v="13"/>
    </i>
    <i r="1">
      <x v="14"/>
    </i>
    <i r="1">
      <x v="15"/>
    </i>
    <i>
      <x v="1"/>
    </i>
    <i r="1">
      <x/>
    </i>
    <i r="1">
      <x v="1"/>
    </i>
    <i r="1">
      <x v="2"/>
    </i>
    <i r="1">
      <x v="3"/>
    </i>
    <i r="1">
      <x v="4"/>
    </i>
    <i r="1">
      <x v="5"/>
    </i>
    <i r="1">
      <x v="6"/>
    </i>
    <i r="1">
      <x v="7"/>
    </i>
    <i r="1">
      <x v="8"/>
    </i>
    <i r="1">
      <x v="9"/>
    </i>
    <i r="1">
      <x v="10"/>
    </i>
    <i r="1">
      <x v="11"/>
    </i>
    <i r="1">
      <x v="12"/>
    </i>
    <i r="1">
      <x v="13"/>
    </i>
    <i r="1">
      <x v="14"/>
    </i>
    <i r="1">
      <x v="15"/>
    </i>
    <i>
      <x v="2"/>
    </i>
    <i r="1">
      <x/>
    </i>
    <i r="1">
      <x v="1"/>
    </i>
    <i r="1">
      <x v="2"/>
    </i>
    <i r="1">
      <x v="3"/>
    </i>
    <i r="1">
      <x v="4"/>
    </i>
    <i r="1">
      <x v="5"/>
    </i>
    <i r="1">
      <x v="6"/>
    </i>
    <i r="1">
      <x v="7"/>
    </i>
    <i r="1">
      <x v="8"/>
    </i>
    <i r="1">
      <x v="9"/>
    </i>
    <i r="1">
      <x v="10"/>
    </i>
    <i r="1">
      <x v="11"/>
    </i>
    <i r="1">
      <x v="12"/>
    </i>
    <i r="1">
      <x v="13"/>
    </i>
    <i r="1">
      <x v="14"/>
    </i>
    <i r="1">
      <x v="15"/>
    </i>
    <i t="grand">
      <x/>
    </i>
  </rowItems>
  <colFields count="1">
    <field x="-2"/>
  </colFields>
  <colItems count="3">
    <i>
      <x/>
    </i>
    <i i="1">
      <x v="1"/>
    </i>
    <i i="2">
      <x v="2"/>
    </i>
  </colItems>
  <dataFields count="3">
    <dataField name="Last Year" fld="2" baseField="0" baseItem="0" numFmtId="2"/>
    <dataField name="Last Month" fld="3" baseField="0" baseItem="0" numFmtId="2"/>
    <dataField name="Current" fld="4"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A43246F3-F83D-418E-BC82-59BB727D1AA6}" name="MN_HTIMPPVT4" cacheId="3" applyNumberFormats="0" applyBorderFormats="0" applyFontFormats="0" applyPatternFormats="0" applyAlignmentFormats="0" applyWidthHeightFormats="1" dataCaption="Values" updatedVersion="8" minRefreshableVersion="3" useAutoFormatting="1" rowGrandTotals="0" itemPrintTitles="1" createdVersion="5" indent="0" showHeaders="0" outline="1" outlineData="1" multipleFieldFilters="0">
  <location ref="CM35:CM50" firstHeaderRow="0" firstDataRow="0" firstDataCol="1"/>
  <pivotFields count="7">
    <pivotField axis="axisRow" showAll="0">
      <items count="17">
        <item x="3"/>
        <item x="4"/>
        <item x="0"/>
        <item x="1"/>
        <item x="2"/>
        <item x="5"/>
        <item x="6"/>
        <item x="7"/>
        <item x="8"/>
        <item x="9"/>
        <item x="10"/>
        <item x="11"/>
        <item x="12"/>
        <item x="13"/>
        <item x="14"/>
        <item x="15"/>
        <item t="default"/>
      </items>
    </pivotField>
    <pivotField showAll="0"/>
    <pivotField numFmtId="3" showAll="0"/>
    <pivotField showAll="0"/>
    <pivotField showAll="0"/>
    <pivotField showAll="0"/>
    <pivotField showAll="0"/>
  </pivotFields>
  <rowFields count="1">
    <field x="0"/>
  </rowFields>
  <rowItems count="16">
    <i>
      <x/>
    </i>
    <i>
      <x v="1"/>
    </i>
    <i>
      <x v="2"/>
    </i>
    <i>
      <x v="3"/>
    </i>
    <i>
      <x v="4"/>
    </i>
    <i>
      <x v="5"/>
    </i>
    <i>
      <x v="6"/>
    </i>
    <i>
      <x v="7"/>
    </i>
    <i>
      <x v="8"/>
    </i>
    <i>
      <x v="9"/>
    </i>
    <i>
      <x v="10"/>
    </i>
    <i>
      <x v="11"/>
    </i>
    <i>
      <x v="12"/>
    </i>
    <i>
      <x v="13"/>
    </i>
    <i>
      <x v="14"/>
    </i>
    <i>
      <x v="15"/>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B744843E-E616-40F2-92D9-289E6B110261}" name="MN_IMPPVT2" cacheId="2"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T75:W127" firstHeaderRow="0" firstDataRow="1" firstDataCol="1"/>
  <pivotFields count="7">
    <pivotField axis="axisRow" showAll="0">
      <items count="17">
        <item x="3"/>
        <item x="4"/>
        <item x="0"/>
        <item x="1"/>
        <item x="2"/>
        <item x="5"/>
        <item x="6"/>
        <item x="7"/>
        <item x="8"/>
        <item x="9"/>
        <item x="10"/>
        <item x="11"/>
        <item x="12"/>
        <item x="13"/>
        <item x="14"/>
        <item x="15"/>
        <item t="default"/>
      </items>
    </pivotField>
    <pivotField axis="axisRow" showAll="0">
      <items count="4">
        <item x="2"/>
        <item x="0"/>
        <item x="1"/>
        <item t="default"/>
      </items>
    </pivotField>
    <pivotField dataField="1" numFmtId="3" showAll="0"/>
    <pivotField dataField="1" showAll="0"/>
    <pivotField dataField="1" showAll="0"/>
    <pivotField showAll="0"/>
    <pivotField showAll="0"/>
  </pivotFields>
  <rowFields count="2">
    <field x="1"/>
    <field x="0"/>
  </rowFields>
  <rowItems count="52">
    <i>
      <x/>
    </i>
    <i r="1">
      <x/>
    </i>
    <i r="1">
      <x v="1"/>
    </i>
    <i r="1">
      <x v="2"/>
    </i>
    <i r="1">
      <x v="3"/>
    </i>
    <i r="1">
      <x v="4"/>
    </i>
    <i r="1">
      <x v="5"/>
    </i>
    <i r="1">
      <x v="6"/>
    </i>
    <i r="1">
      <x v="7"/>
    </i>
    <i r="1">
      <x v="8"/>
    </i>
    <i r="1">
      <x v="9"/>
    </i>
    <i r="1">
      <x v="10"/>
    </i>
    <i r="1">
      <x v="11"/>
    </i>
    <i r="1">
      <x v="12"/>
    </i>
    <i r="1">
      <x v="13"/>
    </i>
    <i r="1">
      <x v="14"/>
    </i>
    <i r="1">
      <x v="15"/>
    </i>
    <i>
      <x v="1"/>
    </i>
    <i r="1">
      <x/>
    </i>
    <i r="1">
      <x v="1"/>
    </i>
    <i r="1">
      <x v="2"/>
    </i>
    <i r="1">
      <x v="3"/>
    </i>
    <i r="1">
      <x v="4"/>
    </i>
    <i r="1">
      <x v="5"/>
    </i>
    <i r="1">
      <x v="6"/>
    </i>
    <i r="1">
      <x v="7"/>
    </i>
    <i r="1">
      <x v="8"/>
    </i>
    <i r="1">
      <x v="9"/>
    </i>
    <i r="1">
      <x v="10"/>
    </i>
    <i r="1">
      <x v="11"/>
    </i>
    <i r="1">
      <x v="12"/>
    </i>
    <i r="1">
      <x v="13"/>
    </i>
    <i r="1">
      <x v="14"/>
    </i>
    <i r="1">
      <x v="15"/>
    </i>
    <i>
      <x v="2"/>
    </i>
    <i r="1">
      <x/>
    </i>
    <i r="1">
      <x v="1"/>
    </i>
    <i r="1">
      <x v="2"/>
    </i>
    <i r="1">
      <x v="3"/>
    </i>
    <i r="1">
      <x v="4"/>
    </i>
    <i r="1">
      <x v="5"/>
    </i>
    <i r="1">
      <x v="6"/>
    </i>
    <i r="1">
      <x v="7"/>
    </i>
    <i r="1">
      <x v="8"/>
    </i>
    <i r="1">
      <x v="9"/>
    </i>
    <i r="1">
      <x v="10"/>
    </i>
    <i r="1">
      <x v="11"/>
    </i>
    <i r="1">
      <x v="12"/>
    </i>
    <i r="1">
      <x v="13"/>
    </i>
    <i r="1">
      <x v="14"/>
    </i>
    <i r="1">
      <x v="15"/>
    </i>
    <i t="grand">
      <x/>
    </i>
  </rowItems>
  <colFields count="1">
    <field x="-2"/>
  </colFields>
  <colItems count="3">
    <i>
      <x/>
    </i>
    <i i="1">
      <x v="1"/>
    </i>
    <i i="2">
      <x v="2"/>
    </i>
  </colItems>
  <dataFields count="3">
    <dataField name="Last Year" fld="2" baseField="0" baseItem="0"/>
    <dataField name="Last Month" fld="3" baseField="0" baseItem="0"/>
    <dataField name="Curren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19045C43-01E3-463A-AD8A-0D1D01692C7D}" name="MN_HTIMPPVT3" cacheId="3"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AB130:AB134" firstHeaderRow="1" firstDataRow="1" firstDataCol="1"/>
  <pivotFields count="7">
    <pivotField showAll="0"/>
    <pivotField axis="axisRow" showAll="0">
      <items count="4">
        <item x="2"/>
        <item x="0"/>
        <item x="1"/>
        <item t="default"/>
      </items>
    </pivotField>
    <pivotField numFmtId="3" showAll="0"/>
    <pivotField showAll="0"/>
    <pivotField showAll="0"/>
    <pivotField showAll="0"/>
    <pivotField showAll="0"/>
  </pivotFields>
  <rowFields count="1">
    <field x="1"/>
  </rowFields>
  <rowItems count="4">
    <i>
      <x/>
    </i>
    <i>
      <x v="1"/>
    </i>
    <i>
      <x v="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35FE797-6AFB-48A6-8DB1-3ABFA97C72B9}" name="MN_HTPCTPVT4" cacheId="4" applyNumberFormats="0" applyBorderFormats="0" applyFontFormats="0" applyPatternFormats="0" applyAlignmentFormats="0" applyWidthHeightFormats="1" dataCaption="Values" updatedVersion="8" minRefreshableVersion="3" useAutoFormatting="1" rowGrandTotals="0" itemPrintTitles="1" createdVersion="5" indent="0" showHeaders="0" outline="1" outlineData="1" multipleFieldFilters="0">
  <location ref="CS35:CS50" firstHeaderRow="0" firstDataRow="0" firstDataCol="1"/>
  <pivotFields count="7">
    <pivotField axis="axisRow" showAll="0">
      <items count="17">
        <item x="3"/>
        <item x="4"/>
        <item x="0"/>
        <item x="1"/>
        <item x="2"/>
        <item x="5"/>
        <item x="6"/>
        <item x="7"/>
        <item x="8"/>
        <item x="9"/>
        <item x="10"/>
        <item x="11"/>
        <item x="12"/>
        <item x="13"/>
        <item x="14"/>
        <item x="15"/>
        <item t="default"/>
      </items>
    </pivotField>
    <pivotField showAll="0"/>
    <pivotField numFmtId="164" showAll="0"/>
    <pivotField showAll="0"/>
    <pivotField showAll="0"/>
    <pivotField showAll="0"/>
    <pivotField showAll="0"/>
  </pivotFields>
  <rowFields count="1">
    <field x="0"/>
  </rowFields>
  <rowItems count="16">
    <i>
      <x/>
    </i>
    <i>
      <x v="1"/>
    </i>
    <i>
      <x v="2"/>
    </i>
    <i>
      <x v="3"/>
    </i>
    <i>
      <x v="4"/>
    </i>
    <i>
      <x v="5"/>
    </i>
    <i>
      <x v="6"/>
    </i>
    <i>
      <x v="7"/>
    </i>
    <i>
      <x v="8"/>
    </i>
    <i>
      <x v="9"/>
    </i>
    <i>
      <x v="10"/>
    </i>
    <i>
      <x v="11"/>
    </i>
    <i>
      <x v="12"/>
    </i>
    <i>
      <x v="13"/>
    </i>
    <i>
      <x v="14"/>
    </i>
    <i>
      <x v="15"/>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5D973B72-6C33-4144-A9F3-5DEFCF342CDC}" name="MN_RTGPVT1" cacheId="0"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9">
  <location ref="A75:B127" firstHeaderRow="1" firstDataRow="1" firstDataCol="1"/>
  <pivotFields count="7">
    <pivotField axis="axisRow" showAll="0" sortType="ascending">
      <items count="17">
        <item x="3"/>
        <item x="4"/>
        <item x="0"/>
        <item x="1"/>
        <item x="2"/>
        <item x="5"/>
        <item x="6"/>
        <item x="7"/>
        <item x="8"/>
        <item x="9"/>
        <item x="10"/>
        <item x="11"/>
        <item x="12"/>
        <item x="13"/>
        <item x="14"/>
        <item x="15"/>
        <item t="default"/>
      </items>
      <autoSortScope>
        <pivotArea dataOnly="0" outline="0" fieldPosition="0">
          <references count="1">
            <reference field="4294967294" count="1" selected="0">
              <x v="0"/>
            </reference>
          </references>
        </pivotArea>
      </autoSortScope>
    </pivotField>
    <pivotField axis="axisRow" showAll="0">
      <items count="4">
        <item x="2"/>
        <item x="0"/>
        <item x="1"/>
        <item t="default"/>
      </items>
    </pivotField>
    <pivotField numFmtId="164" showAll="0"/>
    <pivotField showAll="0"/>
    <pivotField dataField="1" showAll="0"/>
    <pivotField showAll="0"/>
    <pivotField showAll="0"/>
  </pivotFields>
  <rowFields count="2">
    <field x="1"/>
    <field x="0"/>
  </rowFields>
  <rowItems count="52">
    <i>
      <x/>
    </i>
    <i r="1">
      <x v="11"/>
    </i>
    <i r="1">
      <x v="12"/>
    </i>
    <i r="1">
      <x v="9"/>
    </i>
    <i r="1">
      <x v="13"/>
    </i>
    <i r="1">
      <x v="6"/>
    </i>
    <i r="1">
      <x v="7"/>
    </i>
    <i r="1">
      <x v="5"/>
    </i>
    <i r="1">
      <x v="3"/>
    </i>
    <i r="1">
      <x v="8"/>
    </i>
    <i r="1">
      <x v="15"/>
    </i>
    <i r="1">
      <x v="10"/>
    </i>
    <i r="1">
      <x v="4"/>
    </i>
    <i r="1">
      <x v="14"/>
    </i>
    <i r="1">
      <x/>
    </i>
    <i r="1">
      <x v="1"/>
    </i>
    <i r="1">
      <x v="2"/>
    </i>
    <i>
      <x v="1"/>
    </i>
    <i r="1">
      <x v="11"/>
    </i>
    <i r="1">
      <x v="12"/>
    </i>
    <i r="1">
      <x v="9"/>
    </i>
    <i r="1">
      <x v="5"/>
    </i>
    <i r="1">
      <x v="6"/>
    </i>
    <i r="1">
      <x v="13"/>
    </i>
    <i r="1">
      <x v="3"/>
    </i>
    <i r="1">
      <x v="7"/>
    </i>
    <i r="1">
      <x v="15"/>
    </i>
    <i r="1">
      <x v="8"/>
    </i>
    <i r="1">
      <x v="4"/>
    </i>
    <i r="1">
      <x v="10"/>
    </i>
    <i r="1">
      <x/>
    </i>
    <i r="1">
      <x v="1"/>
    </i>
    <i r="1">
      <x v="14"/>
    </i>
    <i r="1">
      <x v="2"/>
    </i>
    <i>
      <x v="2"/>
    </i>
    <i r="1">
      <x v="11"/>
    </i>
    <i r="1">
      <x v="12"/>
    </i>
    <i r="1">
      <x v="9"/>
    </i>
    <i r="1">
      <x v="13"/>
    </i>
    <i r="1">
      <x v="6"/>
    </i>
    <i r="1">
      <x v="3"/>
    </i>
    <i r="1">
      <x v="5"/>
    </i>
    <i r="1">
      <x v="7"/>
    </i>
    <i r="1">
      <x v="15"/>
    </i>
    <i r="1">
      <x v="4"/>
    </i>
    <i r="1">
      <x v="10"/>
    </i>
    <i r="1">
      <x v="8"/>
    </i>
    <i r="1">
      <x/>
    </i>
    <i r="1">
      <x v="14"/>
    </i>
    <i r="1">
      <x v="1"/>
    </i>
    <i r="1">
      <x v="2"/>
    </i>
    <i t="grand">
      <x/>
    </i>
  </rowItems>
  <colItems count="1">
    <i/>
  </colItems>
  <dataFields count="1">
    <dataField name="RTG %" fld="4"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9B370D67-2FB8-45A2-8971-75DE34B8BB1D}" name="Midd_HTPCTPVT2" cacheId="9"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AJ31:AM50" firstHeaderRow="0" firstDataRow="1" firstDataCol="1"/>
  <pivotFields count="7">
    <pivotField axis="axisRow" showAll="0">
      <items count="6">
        <item x="0"/>
        <item x="1"/>
        <item x="2"/>
        <item x="3"/>
        <item x="4"/>
        <item t="default"/>
      </items>
    </pivotField>
    <pivotField axis="axisRow" showAll="0">
      <items count="4">
        <item x="2"/>
        <item x="0"/>
        <item x="1"/>
        <item t="default"/>
      </items>
    </pivotField>
    <pivotField dataField="1" numFmtId="164" showAll="0"/>
    <pivotField dataField="1" numFmtId="164" showAll="0"/>
    <pivotField dataField="1" numFmtId="164" showAll="0"/>
    <pivotField showAll="0"/>
    <pivotField showAll="0"/>
  </pivotFields>
  <rowFields count="2">
    <field x="1"/>
    <field x="0"/>
  </rowFields>
  <rowItems count="19">
    <i>
      <x/>
    </i>
    <i r="1">
      <x/>
    </i>
    <i r="1">
      <x v="1"/>
    </i>
    <i r="1">
      <x v="2"/>
    </i>
    <i r="1">
      <x v="3"/>
    </i>
    <i r="1">
      <x v="4"/>
    </i>
    <i>
      <x v="1"/>
    </i>
    <i r="1">
      <x/>
    </i>
    <i r="1">
      <x v="1"/>
    </i>
    <i r="1">
      <x v="2"/>
    </i>
    <i r="1">
      <x v="3"/>
    </i>
    <i r="1">
      <x v="4"/>
    </i>
    <i>
      <x v="2"/>
    </i>
    <i r="1">
      <x/>
    </i>
    <i r="1">
      <x v="1"/>
    </i>
    <i r="1">
      <x v="2"/>
    </i>
    <i r="1">
      <x v="3"/>
    </i>
    <i r="1">
      <x v="4"/>
    </i>
    <i t="grand">
      <x/>
    </i>
  </rowItems>
  <colFields count="1">
    <field x="-2"/>
  </colFields>
  <colItems count="3">
    <i>
      <x/>
    </i>
    <i i="1">
      <x v="1"/>
    </i>
    <i i="2">
      <x v="2"/>
    </i>
  </colItems>
  <dataFields count="3">
    <dataField name="Last Year" fld="2" baseField="0" baseItem="0" numFmtId="2"/>
    <dataField name="Last Month" fld="3" baseField="0" baseItem="0" numFmtId="2"/>
    <dataField name="Current" fld="4"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259CEF25-D077-4D0A-93EE-B06AA7A80781}" name="Midd_RTGPVT3" cacheId="5"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D53:D57" firstHeaderRow="1" firstDataRow="1" firstDataCol="1"/>
  <pivotFields count="7">
    <pivotField showAll="0"/>
    <pivotField axis="axisRow" showAll="0">
      <items count="4">
        <item x="2"/>
        <item x="0"/>
        <item x="1"/>
        <item t="default"/>
      </items>
    </pivotField>
    <pivotField numFmtId="164" showAll="0"/>
    <pivotField showAll="0"/>
    <pivotField numFmtId="164" showAll="0"/>
    <pivotField showAll="0"/>
    <pivotField showAll="0"/>
  </pivotFields>
  <rowFields count="1">
    <field x="1"/>
  </rowFields>
  <rowItems count="4">
    <i>
      <x/>
    </i>
    <i>
      <x v="1"/>
    </i>
    <i>
      <x v="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55C22610-4C7F-4948-8000-05467B798FC4}" name="Midd_SHRPVT4" cacheId="6" applyNumberFormats="0" applyBorderFormats="0" applyFontFormats="0" applyPatternFormats="0" applyAlignmentFormats="0" applyWidthHeightFormats="1" dataCaption="Values" updatedVersion="8" minRefreshableVersion="3" useAutoFormatting="1" rowGrandTotals="0" itemPrintTitles="1" createdVersion="5" indent="0" showHeaders="0" outline="1" outlineData="1" multipleFieldFilters="0">
  <location ref="CA35:CA39" firstHeaderRow="0" firstDataRow="0" firstDataCol="1"/>
  <pivotFields count="7">
    <pivotField axis="axisRow" showAll="0">
      <items count="6">
        <item x="0"/>
        <item x="1"/>
        <item x="2"/>
        <item x="3"/>
        <item x="4"/>
        <item t="default"/>
      </items>
    </pivotField>
    <pivotField showAll="0"/>
    <pivotField numFmtId="3" showAll="0"/>
    <pivotField numFmtId="3" showAll="0"/>
    <pivotField numFmtId="3" showAll="0"/>
    <pivotField showAll="0"/>
    <pivotField showAll="0"/>
  </pivotFields>
  <rowFields count="1">
    <field x="0"/>
  </rowFields>
  <rowItems count="5">
    <i>
      <x/>
    </i>
    <i>
      <x v="1"/>
    </i>
    <i>
      <x v="2"/>
    </i>
    <i>
      <x v="3"/>
    </i>
    <i>
      <x v="4"/>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2499FF44-8B2E-4B04-A633-C2390260BE68}" name="Midd_HTIMPPVT1" cacheId="8"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Y31:Z50" firstHeaderRow="1" firstDataRow="1" firstDataCol="1"/>
  <pivotFields count="7">
    <pivotField axis="axisRow" showAll="0">
      <items count="6">
        <item x="0"/>
        <item x="1"/>
        <item x="2"/>
        <item x="3"/>
        <item x="4"/>
        <item t="default"/>
      </items>
    </pivotField>
    <pivotField axis="axisRow" showAll="0">
      <items count="4">
        <item x="2"/>
        <item x="0"/>
        <item x="1"/>
        <item t="default"/>
      </items>
    </pivotField>
    <pivotField numFmtId="3" showAll="0"/>
    <pivotField numFmtId="3" showAll="0"/>
    <pivotField dataField="1" numFmtId="3" showAll="0"/>
    <pivotField showAll="0"/>
    <pivotField showAll="0"/>
  </pivotFields>
  <rowFields count="2">
    <field x="1"/>
    <field x="0"/>
  </rowFields>
  <rowItems count="19">
    <i>
      <x/>
    </i>
    <i r="1">
      <x/>
    </i>
    <i r="1">
      <x v="1"/>
    </i>
    <i r="1">
      <x v="2"/>
    </i>
    <i r="1">
      <x v="3"/>
    </i>
    <i r="1">
      <x v="4"/>
    </i>
    <i>
      <x v="1"/>
    </i>
    <i r="1">
      <x/>
    </i>
    <i r="1">
      <x v="1"/>
    </i>
    <i r="1">
      <x v="2"/>
    </i>
    <i r="1">
      <x v="3"/>
    </i>
    <i r="1">
      <x v="4"/>
    </i>
    <i>
      <x v="2"/>
    </i>
    <i r="1">
      <x/>
    </i>
    <i r="1">
      <x v="1"/>
    </i>
    <i r="1">
      <x v="2"/>
    </i>
    <i r="1">
      <x v="3"/>
    </i>
    <i r="1">
      <x v="4"/>
    </i>
    <i t="grand">
      <x/>
    </i>
  </rowItems>
  <colItems count="1">
    <i/>
  </colItems>
  <dataFields count="1">
    <dataField name="H/P IMP"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1988B48A-4F59-4F17-9542-F32BAB7D0267}" name="Midd_SHRPVT3" cacheId="6"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L53:L57" firstHeaderRow="1" firstDataRow="1" firstDataCol="1"/>
  <pivotFields count="7">
    <pivotField showAll="0"/>
    <pivotField axis="axisRow" showAll="0">
      <items count="4">
        <item x="2"/>
        <item x="0"/>
        <item x="1"/>
        <item t="default"/>
      </items>
    </pivotField>
    <pivotField numFmtId="3" showAll="0"/>
    <pivotField numFmtId="3" showAll="0"/>
    <pivotField numFmtId="3" showAll="0"/>
    <pivotField showAll="0"/>
    <pivotField showAll="0"/>
  </pivotFields>
  <rowFields count="1">
    <field x="1"/>
  </rowFields>
  <rowItems count="4">
    <i>
      <x/>
    </i>
    <i>
      <x v="1"/>
    </i>
    <i>
      <x v="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31432D6F-D4CA-48C4-9A91-0CAE8C13F33F}" name="Midd_IMPPVT4" cacheId="7" applyNumberFormats="0" applyBorderFormats="0" applyFontFormats="0" applyPatternFormats="0" applyAlignmentFormats="0" applyWidthHeightFormats="1" dataCaption="Values" updatedVersion="8" minRefreshableVersion="3" useAutoFormatting="1" rowGrandTotals="0" itemPrintTitles="1" createdVersion="5" indent="0" showHeaders="0" outline="1" outlineData="1" multipleFieldFilters="0">
  <location ref="CG35:CG39" firstHeaderRow="0" firstDataRow="0" firstDataCol="1"/>
  <pivotFields count="7">
    <pivotField axis="axisRow" showAll="0">
      <items count="6">
        <item x="0"/>
        <item x="1"/>
        <item x="2"/>
        <item x="3"/>
        <item x="4"/>
        <item t="default"/>
      </items>
    </pivotField>
    <pivotField showAll="0"/>
    <pivotField numFmtId="3" showAll="0"/>
    <pivotField numFmtId="3" showAll="0"/>
    <pivotField numFmtId="3" showAll="0"/>
    <pivotField showAll="0"/>
    <pivotField showAll="0"/>
  </pivotFields>
  <rowFields count="1">
    <field x="0"/>
  </rowFields>
  <rowItems count="5">
    <i>
      <x/>
    </i>
    <i>
      <x v="1"/>
    </i>
    <i>
      <x v="2"/>
    </i>
    <i>
      <x v="3"/>
    </i>
    <i>
      <x v="4"/>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6C9D396F-13A0-48B2-9088-B362990733E9}" name="Midd_HTPCTPVT1" cacheId="9"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AG31:AH50" firstHeaderRow="1" firstDataRow="1" firstDataCol="1"/>
  <pivotFields count="7">
    <pivotField axis="axisRow" showAll="0">
      <items count="6">
        <item x="0"/>
        <item x="1"/>
        <item x="2"/>
        <item x="3"/>
        <item x="4"/>
        <item t="default"/>
      </items>
    </pivotField>
    <pivotField axis="axisRow" showAll="0">
      <items count="4">
        <item x="2"/>
        <item x="0"/>
        <item x="1"/>
        <item t="default"/>
      </items>
    </pivotField>
    <pivotField numFmtId="164" showAll="0"/>
    <pivotField numFmtId="164" showAll="0"/>
    <pivotField dataField="1" numFmtId="164" showAll="0"/>
    <pivotField showAll="0"/>
    <pivotField showAll="0"/>
  </pivotFields>
  <rowFields count="2">
    <field x="1"/>
    <field x="0"/>
  </rowFields>
  <rowItems count="19">
    <i>
      <x/>
    </i>
    <i r="1">
      <x/>
    </i>
    <i r="1">
      <x v="1"/>
    </i>
    <i r="1">
      <x v="2"/>
    </i>
    <i r="1">
      <x v="3"/>
    </i>
    <i r="1">
      <x v="4"/>
    </i>
    <i>
      <x v="1"/>
    </i>
    <i r="1">
      <x/>
    </i>
    <i r="1">
      <x v="1"/>
    </i>
    <i r="1">
      <x v="2"/>
    </i>
    <i r="1">
      <x v="3"/>
    </i>
    <i r="1">
      <x v="4"/>
    </i>
    <i>
      <x v="2"/>
    </i>
    <i r="1">
      <x/>
    </i>
    <i r="1">
      <x v="1"/>
    </i>
    <i r="1">
      <x v="2"/>
    </i>
    <i r="1">
      <x v="3"/>
    </i>
    <i r="1">
      <x v="4"/>
    </i>
    <i t="grand">
      <x/>
    </i>
  </rowItems>
  <colItems count="1">
    <i/>
  </colItems>
  <dataFields count="1">
    <dataField name="H/P %" fld="4"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3542C35-50CB-44E0-8EBA-6115FB49771F}" name="Midd_RTGPVT2" cacheId="5"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12">
  <location ref="D31:G50" firstHeaderRow="0" firstDataRow="1" firstDataCol="1"/>
  <pivotFields count="7">
    <pivotField axis="axisRow" showAll="0">
      <items count="6">
        <item x="0"/>
        <item x="1"/>
        <item x="2"/>
        <item x="3"/>
        <item x="4"/>
        <item t="default"/>
      </items>
    </pivotField>
    <pivotField axis="axisRow" showAll="0">
      <items count="4">
        <item x="2"/>
        <item x="0"/>
        <item x="1"/>
        <item t="default"/>
      </items>
    </pivotField>
    <pivotField dataField="1" numFmtId="164" showAll="0"/>
    <pivotField dataField="1" showAll="0"/>
    <pivotField dataField="1" numFmtId="164" showAll="0"/>
    <pivotField showAll="0"/>
    <pivotField showAll="0"/>
  </pivotFields>
  <rowFields count="2">
    <field x="1"/>
    <field x="0"/>
  </rowFields>
  <rowItems count="19">
    <i>
      <x/>
    </i>
    <i r="1">
      <x/>
    </i>
    <i r="1">
      <x v="1"/>
    </i>
    <i r="1">
      <x v="2"/>
    </i>
    <i r="1">
      <x v="3"/>
    </i>
    <i r="1">
      <x v="4"/>
    </i>
    <i>
      <x v="1"/>
    </i>
    <i r="1">
      <x/>
    </i>
    <i r="1">
      <x v="1"/>
    </i>
    <i r="1">
      <x v="2"/>
    </i>
    <i r="1">
      <x v="3"/>
    </i>
    <i r="1">
      <x v="4"/>
    </i>
    <i>
      <x v="2"/>
    </i>
    <i r="1">
      <x/>
    </i>
    <i r="1">
      <x v="1"/>
    </i>
    <i r="1">
      <x v="2"/>
    </i>
    <i r="1">
      <x v="3"/>
    </i>
    <i r="1">
      <x v="4"/>
    </i>
    <i t="grand">
      <x/>
    </i>
  </rowItems>
  <colFields count="1">
    <field x="-2"/>
  </colFields>
  <colItems count="3">
    <i>
      <x/>
    </i>
    <i i="1">
      <x v="1"/>
    </i>
    <i i="2">
      <x v="2"/>
    </i>
  </colItems>
  <dataFields count="3">
    <dataField name="Last Year" fld="2" baseField="0" baseItem="0" numFmtId="2"/>
    <dataField name="Last Month" fld="3" baseField="0" baseItem="0" numFmtId="2"/>
    <dataField name="Current" fld="4" baseField="0" baseItem="0" numFmtId="2"/>
  </dataFields>
  <chartFormats count="3">
    <chartFormat chart="11" format="0"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1"/>
          </reference>
        </references>
      </pivotArea>
    </chartFormat>
    <chartFormat chart="11"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E193F46D-1106-4830-AF77-F638C1818840}" name="Midd_IMPPVT3" cacheId="7"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T53:T57" firstHeaderRow="1" firstDataRow="1" firstDataCol="1"/>
  <pivotFields count="7">
    <pivotField showAll="0"/>
    <pivotField axis="axisRow" showAll="0">
      <items count="4">
        <item x="2"/>
        <item x="0"/>
        <item x="1"/>
        <item t="default"/>
      </items>
    </pivotField>
    <pivotField numFmtId="3" showAll="0"/>
    <pivotField numFmtId="3" showAll="0"/>
    <pivotField numFmtId="3" showAll="0"/>
    <pivotField showAll="0"/>
    <pivotField showAll="0"/>
  </pivotFields>
  <rowFields count="1">
    <field x="1"/>
  </rowFields>
  <rowItems count="4">
    <i>
      <x/>
    </i>
    <i>
      <x v="1"/>
    </i>
    <i>
      <x v="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51C2EE7C-CCCB-4252-AD49-54C0E4D1499D}" name="Midd_SHRPVT2" cacheId="6"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L31:O50" firstHeaderRow="0" firstDataRow="1" firstDataCol="1"/>
  <pivotFields count="7">
    <pivotField axis="axisRow" showAll="0">
      <items count="6">
        <item x="0"/>
        <item x="1"/>
        <item x="2"/>
        <item x="3"/>
        <item x="4"/>
        <item t="default"/>
      </items>
    </pivotField>
    <pivotField axis="axisRow" showAll="0">
      <items count="4">
        <item x="2"/>
        <item x="0"/>
        <item x="1"/>
        <item t="default"/>
      </items>
    </pivotField>
    <pivotField dataField="1" numFmtId="3" showAll="0"/>
    <pivotField dataField="1" numFmtId="3" showAll="0"/>
    <pivotField dataField="1" numFmtId="3" showAll="0"/>
    <pivotField showAll="0"/>
    <pivotField showAll="0"/>
  </pivotFields>
  <rowFields count="2">
    <field x="1"/>
    <field x="0"/>
  </rowFields>
  <rowItems count="19">
    <i>
      <x/>
    </i>
    <i r="1">
      <x/>
    </i>
    <i r="1">
      <x v="1"/>
    </i>
    <i r="1">
      <x v="2"/>
    </i>
    <i r="1">
      <x v="3"/>
    </i>
    <i r="1">
      <x v="4"/>
    </i>
    <i>
      <x v="1"/>
    </i>
    <i r="1">
      <x/>
    </i>
    <i r="1">
      <x v="1"/>
    </i>
    <i r="1">
      <x v="2"/>
    </i>
    <i r="1">
      <x v="3"/>
    </i>
    <i r="1">
      <x v="4"/>
    </i>
    <i>
      <x v="2"/>
    </i>
    <i r="1">
      <x/>
    </i>
    <i r="1">
      <x v="1"/>
    </i>
    <i r="1">
      <x v="2"/>
    </i>
    <i r="1">
      <x v="3"/>
    </i>
    <i r="1">
      <x v="4"/>
    </i>
    <i t="grand">
      <x/>
    </i>
  </rowItems>
  <colFields count="1">
    <field x="-2"/>
  </colFields>
  <colItems count="3">
    <i>
      <x/>
    </i>
    <i i="1">
      <x v="1"/>
    </i>
    <i i="2">
      <x v="2"/>
    </i>
  </colItems>
  <dataFields count="3">
    <dataField name="Last Year" fld="2" baseField="0" baseItem="0" numFmtId="2"/>
    <dataField name="Last Month" fld="3" baseField="0" baseItem="0" numFmtId="2"/>
    <dataField name="Current" fld="4"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8823A3E-5FC5-4079-8E92-6F72E617E37B}" name="Midd_HTIMPPVT4" cacheId="8" applyNumberFormats="0" applyBorderFormats="0" applyFontFormats="0" applyPatternFormats="0" applyAlignmentFormats="0" applyWidthHeightFormats="1" dataCaption="Values" updatedVersion="8" minRefreshableVersion="3" useAutoFormatting="1" rowGrandTotals="0" itemPrintTitles="1" createdVersion="5" indent="0" showHeaders="0" outline="1" outlineData="1" multipleFieldFilters="0">
  <location ref="CM35:CM39" firstHeaderRow="0" firstDataRow="0" firstDataCol="1"/>
  <pivotFields count="7">
    <pivotField axis="axisRow" showAll="0">
      <items count="6">
        <item x="0"/>
        <item x="1"/>
        <item x="2"/>
        <item x="3"/>
        <item x="4"/>
        <item t="default"/>
      </items>
    </pivotField>
    <pivotField showAll="0"/>
    <pivotField numFmtId="3" showAll="0"/>
    <pivotField numFmtId="3" showAll="0"/>
    <pivotField numFmtId="3" showAll="0"/>
    <pivotField showAll="0"/>
    <pivotField showAll="0"/>
  </pivotFields>
  <rowFields count="1">
    <field x="0"/>
  </rowFields>
  <rowItems count="5">
    <i>
      <x/>
    </i>
    <i>
      <x v="1"/>
    </i>
    <i>
      <x v="2"/>
    </i>
    <i>
      <x v="3"/>
    </i>
    <i>
      <x v="4"/>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117A14E3-F38E-471F-8C43-15FBF727AE00}" name="Midd_IMPPVT2" cacheId="7"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T31:W50" firstHeaderRow="0" firstDataRow="1" firstDataCol="1"/>
  <pivotFields count="7">
    <pivotField axis="axisRow" showAll="0">
      <items count="6">
        <item x="0"/>
        <item x="1"/>
        <item x="2"/>
        <item x="3"/>
        <item x="4"/>
        <item t="default"/>
      </items>
    </pivotField>
    <pivotField axis="axisRow" showAll="0">
      <items count="4">
        <item x="2"/>
        <item x="0"/>
        <item x="1"/>
        <item t="default"/>
      </items>
    </pivotField>
    <pivotField dataField="1" numFmtId="3" showAll="0"/>
    <pivotField dataField="1" numFmtId="3" showAll="0"/>
    <pivotField dataField="1" numFmtId="3" showAll="0"/>
    <pivotField showAll="0"/>
    <pivotField showAll="0"/>
  </pivotFields>
  <rowFields count="2">
    <field x="1"/>
    <field x="0"/>
  </rowFields>
  <rowItems count="19">
    <i>
      <x/>
    </i>
    <i r="1">
      <x/>
    </i>
    <i r="1">
      <x v="1"/>
    </i>
    <i r="1">
      <x v="2"/>
    </i>
    <i r="1">
      <x v="3"/>
    </i>
    <i r="1">
      <x v="4"/>
    </i>
    <i>
      <x v="1"/>
    </i>
    <i r="1">
      <x/>
    </i>
    <i r="1">
      <x v="1"/>
    </i>
    <i r="1">
      <x v="2"/>
    </i>
    <i r="1">
      <x v="3"/>
    </i>
    <i r="1">
      <x v="4"/>
    </i>
    <i>
      <x v="2"/>
    </i>
    <i r="1">
      <x/>
    </i>
    <i r="1">
      <x v="1"/>
    </i>
    <i r="1">
      <x v="2"/>
    </i>
    <i r="1">
      <x v="3"/>
    </i>
    <i r="1">
      <x v="4"/>
    </i>
    <i t="grand">
      <x/>
    </i>
  </rowItems>
  <colFields count="1">
    <field x="-2"/>
  </colFields>
  <colItems count="3">
    <i>
      <x/>
    </i>
    <i i="1">
      <x v="1"/>
    </i>
    <i i="2">
      <x v="2"/>
    </i>
  </colItems>
  <dataFields count="3">
    <dataField name="Last Year" fld="2" baseField="0" baseItem="0"/>
    <dataField name="Last Month" fld="3" baseField="0" baseItem="0"/>
    <dataField name="Curren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94C38727-8282-46BD-903B-3F629904C682}" name="Midd_HTIMPPVT3" cacheId="8"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AB53:AB57" firstHeaderRow="1" firstDataRow="1" firstDataCol="1"/>
  <pivotFields count="7">
    <pivotField showAll="0"/>
    <pivotField axis="axisRow" showAll="0">
      <items count="4">
        <item x="2"/>
        <item x="0"/>
        <item x="1"/>
        <item t="default"/>
      </items>
    </pivotField>
    <pivotField numFmtId="3" showAll="0"/>
    <pivotField numFmtId="3" showAll="0"/>
    <pivotField numFmtId="3" showAll="0"/>
    <pivotField showAll="0"/>
    <pivotField showAll="0"/>
  </pivotFields>
  <rowFields count="1">
    <field x="1"/>
  </rowFields>
  <rowItems count="4">
    <i>
      <x/>
    </i>
    <i>
      <x v="1"/>
    </i>
    <i>
      <x v="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2ED9D08F-722A-47DD-916A-44492FC5FED4}" name="Midd_HTPCTPVT4" cacheId="9" applyNumberFormats="0" applyBorderFormats="0" applyFontFormats="0" applyPatternFormats="0" applyAlignmentFormats="0" applyWidthHeightFormats="1" dataCaption="Values" updatedVersion="8" minRefreshableVersion="3" useAutoFormatting="1" rowGrandTotals="0" itemPrintTitles="1" createdVersion="5" indent="0" showHeaders="0" outline="1" outlineData="1" multipleFieldFilters="0">
  <location ref="CS35:CS39" firstHeaderRow="0" firstDataRow="0" firstDataCol="1"/>
  <pivotFields count="7">
    <pivotField axis="axisRow" showAll="0">
      <items count="6">
        <item x="0"/>
        <item x="1"/>
        <item x="2"/>
        <item x="3"/>
        <item x="4"/>
        <item t="default"/>
      </items>
    </pivotField>
    <pivotField showAll="0"/>
    <pivotField numFmtId="164" showAll="0"/>
    <pivotField numFmtId="164" showAll="0"/>
    <pivotField numFmtId="164" showAll="0"/>
    <pivotField showAll="0"/>
    <pivotField showAll="0"/>
  </pivotFields>
  <rowFields count="1">
    <field x="0"/>
  </rowFields>
  <rowItems count="5">
    <i>
      <x/>
    </i>
    <i>
      <x v="1"/>
    </i>
    <i>
      <x v="2"/>
    </i>
    <i>
      <x v="3"/>
    </i>
    <i>
      <x v="4"/>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AC1AA12E-BFF8-4FBB-97BE-3450B81085F5}" name="Midd_RTGPVT1" cacheId="5"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12">
  <location ref="A31:B50" firstHeaderRow="1" firstDataRow="1" firstDataCol="1"/>
  <pivotFields count="7">
    <pivotField axis="axisRow" showAll="0" sortType="ascending">
      <items count="6">
        <item x="0"/>
        <item x="1"/>
        <item x="2"/>
        <item x="3"/>
        <item x="4"/>
        <item t="default"/>
      </items>
      <autoSortScope>
        <pivotArea dataOnly="0" outline="0" fieldPosition="0">
          <references count="1">
            <reference field="4294967294" count="1" selected="0">
              <x v="0"/>
            </reference>
          </references>
        </pivotArea>
      </autoSortScope>
    </pivotField>
    <pivotField axis="axisRow" showAll="0">
      <items count="4">
        <item x="2"/>
        <item x="0"/>
        <item x="1"/>
        <item t="default"/>
      </items>
    </pivotField>
    <pivotField numFmtId="164" showAll="0"/>
    <pivotField showAll="0"/>
    <pivotField dataField="1" numFmtId="164" showAll="0"/>
    <pivotField showAll="0"/>
    <pivotField showAll="0"/>
  </pivotFields>
  <rowFields count="2">
    <field x="1"/>
    <field x="0"/>
  </rowFields>
  <rowItems count="19">
    <i>
      <x/>
    </i>
    <i r="1">
      <x v="4"/>
    </i>
    <i r="1">
      <x v="3"/>
    </i>
    <i r="1">
      <x v="2"/>
    </i>
    <i r="1">
      <x/>
    </i>
    <i r="1">
      <x v="1"/>
    </i>
    <i>
      <x v="1"/>
    </i>
    <i r="1">
      <x v="3"/>
    </i>
    <i r="1">
      <x v="2"/>
    </i>
    <i r="1">
      <x v="1"/>
    </i>
    <i r="1">
      <x v="4"/>
    </i>
    <i r="1">
      <x/>
    </i>
    <i>
      <x v="2"/>
    </i>
    <i r="1">
      <x v="3"/>
    </i>
    <i r="1">
      <x v="4"/>
    </i>
    <i r="1">
      <x v="1"/>
    </i>
    <i r="1">
      <x/>
    </i>
    <i r="1">
      <x v="2"/>
    </i>
    <i t="grand">
      <x/>
    </i>
  </rowItems>
  <colItems count="1">
    <i/>
  </colItems>
  <dataFields count="1">
    <dataField name="RTG %" fld="4" baseField="0" baseItem="0" numFmtId="2"/>
  </dataFields>
  <chartFormats count="1">
    <chartFormat chart="1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F093D007-3254-4382-B461-88F798802820}" name="Midd_SHRPVT1" cacheId="6"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I31:J50" firstHeaderRow="1" firstDataRow="1" firstDataCol="1"/>
  <pivotFields count="7">
    <pivotField axis="axisRow" showAll="0">
      <items count="6">
        <item x="0"/>
        <item x="1"/>
        <item x="2"/>
        <item x="3"/>
        <item x="4"/>
        <item t="default"/>
      </items>
    </pivotField>
    <pivotField axis="axisRow" showAll="0">
      <items count="4">
        <item x="2"/>
        <item x="0"/>
        <item x="1"/>
        <item t="default"/>
      </items>
    </pivotField>
    <pivotField numFmtId="3" showAll="0"/>
    <pivotField numFmtId="3" showAll="0"/>
    <pivotField dataField="1" numFmtId="3" showAll="0"/>
    <pivotField showAll="0"/>
    <pivotField showAll="0"/>
  </pivotFields>
  <rowFields count="2">
    <field x="1"/>
    <field x="0"/>
  </rowFields>
  <rowItems count="19">
    <i>
      <x/>
    </i>
    <i r="1">
      <x/>
    </i>
    <i r="1">
      <x v="1"/>
    </i>
    <i r="1">
      <x v="2"/>
    </i>
    <i r="1">
      <x v="3"/>
    </i>
    <i r="1">
      <x v="4"/>
    </i>
    <i>
      <x v="1"/>
    </i>
    <i r="1">
      <x/>
    </i>
    <i r="1">
      <x v="1"/>
    </i>
    <i r="1">
      <x v="2"/>
    </i>
    <i r="1">
      <x v="3"/>
    </i>
    <i r="1">
      <x v="4"/>
    </i>
    <i>
      <x v="2"/>
    </i>
    <i r="1">
      <x/>
    </i>
    <i r="1">
      <x v="1"/>
    </i>
    <i r="1">
      <x v="2"/>
    </i>
    <i r="1">
      <x v="3"/>
    </i>
    <i r="1">
      <x v="4"/>
    </i>
    <i t="grand">
      <x/>
    </i>
  </rowItems>
  <colItems count="1">
    <i/>
  </colItems>
  <dataFields count="1">
    <dataField name="SHR %" fld="4"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EEB2BC98-633A-498E-861E-A5A690D58098}" name="Midd_HTPCTPVT3" cacheId="9"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AJ53:AJ57" firstHeaderRow="1" firstDataRow="1" firstDataCol="1"/>
  <pivotFields count="7">
    <pivotField showAll="0"/>
    <pivotField axis="axisRow" showAll="0">
      <items count="4">
        <item x="2"/>
        <item x="0"/>
        <item x="1"/>
        <item t="default"/>
      </items>
    </pivotField>
    <pivotField numFmtId="164" showAll="0"/>
    <pivotField numFmtId="164" showAll="0"/>
    <pivotField numFmtId="164" showAll="0"/>
    <pivotField showAll="0"/>
    <pivotField showAll="0"/>
  </pivotFields>
  <rowFields count="1">
    <field x="1"/>
  </rowFields>
  <rowItems count="4">
    <i>
      <x/>
    </i>
    <i>
      <x v="1"/>
    </i>
    <i>
      <x v="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E1FB5FA7-011A-4698-9325-DB500B45CD44}" name="Midd_RTGPVT4" cacheId="5" applyNumberFormats="0" applyBorderFormats="0" applyFontFormats="0" applyPatternFormats="0" applyAlignmentFormats="0" applyWidthHeightFormats="1" dataCaption="Values" updatedVersion="8" minRefreshableVersion="3" useAutoFormatting="1" rowGrandTotals="0" itemPrintTitles="1" createdVersion="5" indent="0" showHeaders="0" outline="1" outlineData="1" multipleFieldFilters="0">
  <location ref="BU35:BU39" firstHeaderRow="0" firstDataRow="0" firstDataCol="1"/>
  <pivotFields count="7">
    <pivotField axis="axisRow" showAll="0">
      <items count="6">
        <item x="0"/>
        <item x="1"/>
        <item x="2"/>
        <item x="3"/>
        <item x="4"/>
        <item t="default"/>
      </items>
    </pivotField>
    <pivotField showAll="0"/>
    <pivotField numFmtId="164" showAll="0"/>
    <pivotField showAll="0"/>
    <pivotField numFmtId="164" showAll="0"/>
    <pivotField showAll="0"/>
    <pivotField showAll="0"/>
  </pivotFields>
  <rowFields count="1">
    <field x="0"/>
  </rowFields>
  <rowItems count="5">
    <i>
      <x/>
    </i>
    <i>
      <x v="1"/>
    </i>
    <i>
      <x v="2"/>
    </i>
    <i>
      <x v="3"/>
    </i>
    <i>
      <x v="4"/>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xmlns:mc="http://schemas.openxmlformats.org/markup-compatibility/2006" xmlns:xr="http://schemas.microsoft.com/office/spreadsheetml/2014/revision" mc:Ignorable="xr" xr:uid="{BDD20556-6378-49A5-A8B8-AC415DE1C687}" name="Midd_IMPPVT1" cacheId="7"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Q31:R50" firstHeaderRow="1" firstDataRow="1" firstDataCol="1"/>
  <pivotFields count="7">
    <pivotField axis="axisRow" showAll="0">
      <items count="6">
        <item x="0"/>
        <item x="1"/>
        <item x="2"/>
        <item x="3"/>
        <item x="4"/>
        <item t="default"/>
      </items>
    </pivotField>
    <pivotField axis="axisRow" showAll="0">
      <items count="4">
        <item x="2"/>
        <item x="0"/>
        <item x="1"/>
        <item t="default"/>
      </items>
    </pivotField>
    <pivotField numFmtId="3" showAll="0"/>
    <pivotField numFmtId="3" showAll="0"/>
    <pivotField dataField="1" numFmtId="3" showAll="0"/>
    <pivotField showAll="0"/>
    <pivotField showAll="0"/>
  </pivotFields>
  <rowFields count="2">
    <field x="1"/>
    <field x="0"/>
  </rowFields>
  <rowItems count="19">
    <i>
      <x/>
    </i>
    <i r="1">
      <x/>
    </i>
    <i r="1">
      <x v="1"/>
    </i>
    <i r="1">
      <x v="2"/>
    </i>
    <i r="1">
      <x v="3"/>
    </i>
    <i r="1">
      <x v="4"/>
    </i>
    <i>
      <x v="1"/>
    </i>
    <i r="1">
      <x/>
    </i>
    <i r="1">
      <x v="1"/>
    </i>
    <i r="1">
      <x v="2"/>
    </i>
    <i r="1">
      <x v="3"/>
    </i>
    <i r="1">
      <x v="4"/>
    </i>
    <i>
      <x v="2"/>
    </i>
    <i r="1">
      <x/>
    </i>
    <i r="1">
      <x v="1"/>
    </i>
    <i r="1">
      <x v="2"/>
    </i>
    <i r="1">
      <x v="3"/>
    </i>
    <i r="1">
      <x v="4"/>
    </i>
    <i t="grand">
      <x/>
    </i>
  </rowItems>
  <colItems count="1">
    <i/>
  </colItems>
  <dataFields count="1">
    <dataField name="IMP"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xmlns:mc="http://schemas.openxmlformats.org/markup-compatibility/2006" xmlns:xr="http://schemas.microsoft.com/office/spreadsheetml/2014/revision" mc:Ignorable="xr" xr:uid="{34A86221-7849-4B3D-B896-04B7B05A1AFF}" name="Midd_HTIMPPVT2" cacheId="8"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AB31:AE50" firstHeaderRow="0" firstDataRow="1" firstDataCol="1"/>
  <pivotFields count="7">
    <pivotField axis="axisRow" showAll="0">
      <items count="6">
        <item x="0"/>
        <item x="1"/>
        <item x="2"/>
        <item x="3"/>
        <item x="4"/>
        <item t="default"/>
      </items>
    </pivotField>
    <pivotField axis="axisRow" showAll="0">
      <items count="4">
        <item x="2"/>
        <item x="0"/>
        <item x="1"/>
        <item t="default"/>
      </items>
    </pivotField>
    <pivotField dataField="1" numFmtId="3" showAll="0"/>
    <pivotField dataField="1" numFmtId="3" showAll="0"/>
    <pivotField dataField="1" numFmtId="3" showAll="0"/>
    <pivotField showAll="0"/>
    <pivotField showAll="0"/>
  </pivotFields>
  <rowFields count="2">
    <field x="1"/>
    <field x="0"/>
  </rowFields>
  <rowItems count="19">
    <i>
      <x/>
    </i>
    <i r="1">
      <x/>
    </i>
    <i r="1">
      <x v="1"/>
    </i>
    <i r="1">
      <x v="2"/>
    </i>
    <i r="1">
      <x v="3"/>
    </i>
    <i r="1">
      <x v="4"/>
    </i>
    <i>
      <x v="1"/>
    </i>
    <i r="1">
      <x/>
    </i>
    <i r="1">
      <x v="1"/>
    </i>
    <i r="1">
      <x v="2"/>
    </i>
    <i r="1">
      <x v="3"/>
    </i>
    <i r="1">
      <x v="4"/>
    </i>
    <i>
      <x v="2"/>
    </i>
    <i r="1">
      <x/>
    </i>
    <i r="1">
      <x v="1"/>
    </i>
    <i r="1">
      <x v="2"/>
    </i>
    <i r="1">
      <x v="3"/>
    </i>
    <i r="1">
      <x v="4"/>
    </i>
    <i t="grand">
      <x/>
    </i>
  </rowItems>
  <colFields count="1">
    <field x="-2"/>
  </colFields>
  <colItems count="3">
    <i>
      <x/>
    </i>
    <i i="1">
      <x v="1"/>
    </i>
    <i i="2">
      <x v="2"/>
    </i>
  </colItems>
  <dataFields count="3">
    <dataField name="Last Year" fld="2" baseField="0" baseItem="0"/>
    <dataField name="Last Month" fld="3" baseField="0" baseItem="0"/>
    <dataField name="Curren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xmlns:mc="http://schemas.openxmlformats.org/markup-compatibility/2006" xmlns:xr="http://schemas.microsoft.com/office/spreadsheetml/2014/revision" mc:Ignorable="xr" xr:uid="{D8E446DC-142B-4426-BA86-8B036878FF54}" name="EV_RTGPVT1" cacheId="10"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4">
  <location ref="A51:B85" firstHeaderRow="1" firstDataRow="1" firstDataCol="1"/>
  <pivotFields count="7">
    <pivotField axis="axisRow" showAll="0" sortType="ascending">
      <items count="11">
        <item x="0"/>
        <item x="1"/>
        <item x="2"/>
        <item x="3"/>
        <item x="4"/>
        <item x="5"/>
        <item x="6"/>
        <item x="7"/>
        <item x="8"/>
        <item x="9"/>
        <item t="default"/>
      </items>
      <autoSortScope>
        <pivotArea dataOnly="0" outline="0" fieldPosition="0">
          <references count="1">
            <reference field="4294967294" count="1" selected="0">
              <x v="0"/>
            </reference>
          </references>
        </pivotArea>
      </autoSortScope>
    </pivotField>
    <pivotField axis="axisRow" showAll="0">
      <items count="4">
        <item x="2"/>
        <item x="0"/>
        <item x="1"/>
        <item t="default"/>
      </items>
    </pivotField>
    <pivotField showAll="0"/>
    <pivotField numFmtId="164" showAll="0"/>
    <pivotField dataField="1" numFmtId="164" showAll="0"/>
    <pivotField showAll="0"/>
    <pivotField showAll="0"/>
  </pivotFields>
  <rowFields count="2">
    <field x="1"/>
    <field x="0"/>
  </rowFields>
  <rowItems count="34">
    <i>
      <x/>
    </i>
    <i r="1">
      <x v="9"/>
    </i>
    <i r="1">
      <x v="6"/>
    </i>
    <i r="1">
      <x v="8"/>
    </i>
    <i r="1">
      <x v="3"/>
    </i>
    <i r="1">
      <x v="7"/>
    </i>
    <i r="1">
      <x v="4"/>
    </i>
    <i r="1">
      <x v="5"/>
    </i>
    <i r="1">
      <x/>
    </i>
    <i r="1">
      <x v="2"/>
    </i>
    <i r="1">
      <x v="1"/>
    </i>
    <i>
      <x v="1"/>
    </i>
    <i r="1">
      <x v="9"/>
    </i>
    <i r="1">
      <x v="6"/>
    </i>
    <i r="1">
      <x v="7"/>
    </i>
    <i r="1">
      <x v="8"/>
    </i>
    <i r="1">
      <x v="3"/>
    </i>
    <i r="1">
      <x v="4"/>
    </i>
    <i r="1">
      <x/>
    </i>
    <i r="1">
      <x v="5"/>
    </i>
    <i r="1">
      <x v="2"/>
    </i>
    <i r="1">
      <x v="1"/>
    </i>
    <i>
      <x v="2"/>
    </i>
    <i r="1">
      <x v="9"/>
    </i>
    <i r="1">
      <x v="6"/>
    </i>
    <i r="1">
      <x v="7"/>
    </i>
    <i r="1">
      <x v="3"/>
    </i>
    <i r="1">
      <x v="4"/>
    </i>
    <i r="1">
      <x/>
    </i>
    <i r="1">
      <x v="8"/>
    </i>
    <i r="1">
      <x v="5"/>
    </i>
    <i r="1">
      <x v="2"/>
    </i>
    <i r="1">
      <x v="1"/>
    </i>
    <i t="grand">
      <x/>
    </i>
  </rowItems>
  <colItems count="1">
    <i/>
  </colItems>
  <dataFields count="1">
    <dataField name="RTG %" fld="4"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xmlns:mc="http://schemas.openxmlformats.org/markup-compatibility/2006" xmlns:xr="http://schemas.microsoft.com/office/spreadsheetml/2014/revision" mc:Ignorable="xr" xr:uid="{4B77EDD8-2215-46DD-8377-D9E144FA02C1}" name="EV_SHRPVT1" cacheId="11"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I51:J85" firstHeaderRow="1" firstDataRow="1" firstDataCol="1"/>
  <pivotFields count="7">
    <pivotField axis="axisRow" showAll="0">
      <items count="11">
        <item x="0"/>
        <item x="1"/>
        <item x="2"/>
        <item x="3"/>
        <item x="4"/>
        <item x="5"/>
        <item x="6"/>
        <item x="7"/>
        <item x="8"/>
        <item x="9"/>
        <item t="default"/>
      </items>
    </pivotField>
    <pivotField axis="axisRow" showAll="0">
      <items count="4">
        <item x="2"/>
        <item x="0"/>
        <item x="1"/>
        <item t="default"/>
      </items>
    </pivotField>
    <pivotField showAll="0"/>
    <pivotField numFmtId="3" showAll="0"/>
    <pivotField dataField="1" numFmtId="3" showAll="0"/>
    <pivotField showAll="0"/>
    <pivotField showAll="0"/>
  </pivotFields>
  <rowFields count="2">
    <field x="1"/>
    <field x="0"/>
  </rowFields>
  <rowItems count="34">
    <i>
      <x/>
    </i>
    <i r="1">
      <x/>
    </i>
    <i r="1">
      <x v="1"/>
    </i>
    <i r="1">
      <x v="2"/>
    </i>
    <i r="1">
      <x v="3"/>
    </i>
    <i r="1">
      <x v="4"/>
    </i>
    <i r="1">
      <x v="5"/>
    </i>
    <i r="1">
      <x v="6"/>
    </i>
    <i r="1">
      <x v="7"/>
    </i>
    <i r="1">
      <x v="8"/>
    </i>
    <i r="1">
      <x v="9"/>
    </i>
    <i>
      <x v="1"/>
    </i>
    <i r="1">
      <x/>
    </i>
    <i r="1">
      <x v="1"/>
    </i>
    <i r="1">
      <x v="2"/>
    </i>
    <i r="1">
      <x v="3"/>
    </i>
    <i r="1">
      <x v="4"/>
    </i>
    <i r="1">
      <x v="5"/>
    </i>
    <i r="1">
      <x v="6"/>
    </i>
    <i r="1">
      <x v="7"/>
    </i>
    <i r="1">
      <x v="8"/>
    </i>
    <i r="1">
      <x v="9"/>
    </i>
    <i>
      <x v="2"/>
    </i>
    <i r="1">
      <x/>
    </i>
    <i r="1">
      <x v="1"/>
    </i>
    <i r="1">
      <x v="2"/>
    </i>
    <i r="1">
      <x v="3"/>
    </i>
    <i r="1">
      <x v="4"/>
    </i>
    <i r="1">
      <x v="5"/>
    </i>
    <i r="1">
      <x v="6"/>
    </i>
    <i r="1">
      <x v="7"/>
    </i>
    <i r="1">
      <x v="8"/>
    </i>
    <i r="1">
      <x v="9"/>
    </i>
    <i t="grand">
      <x/>
    </i>
  </rowItems>
  <colItems count="1">
    <i/>
  </colItems>
  <dataFields count="1">
    <dataField name="SHR %" fld="4"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xmlns:mc="http://schemas.openxmlformats.org/markup-compatibility/2006" xmlns:xr="http://schemas.microsoft.com/office/spreadsheetml/2014/revision" mc:Ignorable="xr" xr:uid="{CF3E718F-C270-4D8E-A4C8-FDE3236D9D3C}" name="EV_HTPCTPVT3" cacheId="14"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AJ88:AJ92" firstHeaderRow="1" firstDataRow="1" firstDataCol="1"/>
  <pivotFields count="7">
    <pivotField showAll="0"/>
    <pivotField axis="axisRow" showAll="0">
      <items count="4">
        <item x="2"/>
        <item x="0"/>
        <item x="1"/>
        <item t="default"/>
      </items>
    </pivotField>
    <pivotField showAll="0"/>
    <pivotField numFmtId="164" showAll="0"/>
    <pivotField numFmtId="164" showAll="0"/>
    <pivotField showAll="0"/>
    <pivotField showAll="0"/>
  </pivotFields>
  <rowFields count="1">
    <field x="1"/>
  </rowFields>
  <rowItems count="4">
    <i>
      <x/>
    </i>
    <i>
      <x v="1"/>
    </i>
    <i>
      <x v="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xmlns:mc="http://schemas.openxmlformats.org/markup-compatibility/2006" xmlns:xr="http://schemas.microsoft.com/office/spreadsheetml/2014/revision" mc:Ignorable="xr" xr:uid="{3C7FF85D-8C9B-4AE1-9B3D-BD11E80D91D7}" name="EV_RTGPVT4" cacheId="10" applyNumberFormats="0" applyBorderFormats="0" applyFontFormats="0" applyPatternFormats="0" applyAlignmentFormats="0" applyWidthHeightFormats="1" dataCaption="Values" updatedVersion="8" minRefreshableVersion="3" useAutoFormatting="1" rowGrandTotals="0" itemPrintTitles="1" createdVersion="5" indent="0" showHeaders="0" outline="1" outlineData="1" multipleFieldFilters="0">
  <location ref="BU35:BU44" firstHeaderRow="0" firstDataRow="0" firstDataCol="1"/>
  <pivotFields count="7">
    <pivotField axis="axisRow" showAll="0">
      <items count="11">
        <item x="0"/>
        <item x="1"/>
        <item x="2"/>
        <item x="3"/>
        <item x="4"/>
        <item x="5"/>
        <item x="6"/>
        <item x="7"/>
        <item x="8"/>
        <item x="9"/>
        <item t="default"/>
      </items>
    </pivotField>
    <pivotField showAll="0"/>
    <pivotField showAll="0"/>
    <pivotField numFmtId="164" showAll="0"/>
    <pivotField numFmtId="164" showAll="0"/>
    <pivotField showAll="0"/>
    <pivotField showAll="0"/>
  </pivotFields>
  <rowFields count="1">
    <field x="0"/>
  </rowFields>
  <rowItems count="10">
    <i>
      <x/>
    </i>
    <i>
      <x v="1"/>
    </i>
    <i>
      <x v="2"/>
    </i>
    <i>
      <x v="3"/>
    </i>
    <i>
      <x v="4"/>
    </i>
    <i>
      <x v="5"/>
    </i>
    <i>
      <x v="6"/>
    </i>
    <i>
      <x v="7"/>
    </i>
    <i>
      <x v="8"/>
    </i>
    <i>
      <x v="9"/>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xmlns:mc="http://schemas.openxmlformats.org/markup-compatibility/2006" xmlns:xr="http://schemas.microsoft.com/office/spreadsheetml/2014/revision" mc:Ignorable="xr" xr:uid="{352B601A-EFB0-4E20-9CEC-F6DBE5BBD2D6}" name="EV_IMPPVT1" cacheId="12"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Q51:R85" firstHeaderRow="1" firstDataRow="1" firstDataCol="1"/>
  <pivotFields count="7">
    <pivotField axis="axisRow" showAll="0">
      <items count="11">
        <item x="0"/>
        <item x="1"/>
        <item x="2"/>
        <item x="3"/>
        <item x="4"/>
        <item x="5"/>
        <item x="6"/>
        <item x="7"/>
        <item x="8"/>
        <item x="9"/>
        <item t="default"/>
      </items>
    </pivotField>
    <pivotField axis="axisRow" showAll="0">
      <items count="4">
        <item x="2"/>
        <item x="0"/>
        <item x="1"/>
        <item t="default"/>
      </items>
    </pivotField>
    <pivotField showAll="0"/>
    <pivotField numFmtId="3" showAll="0"/>
    <pivotField dataField="1" numFmtId="3" showAll="0"/>
    <pivotField showAll="0"/>
    <pivotField showAll="0"/>
  </pivotFields>
  <rowFields count="2">
    <field x="1"/>
    <field x="0"/>
  </rowFields>
  <rowItems count="34">
    <i>
      <x/>
    </i>
    <i r="1">
      <x/>
    </i>
    <i r="1">
      <x v="1"/>
    </i>
    <i r="1">
      <x v="2"/>
    </i>
    <i r="1">
      <x v="3"/>
    </i>
    <i r="1">
      <x v="4"/>
    </i>
    <i r="1">
      <x v="5"/>
    </i>
    <i r="1">
      <x v="6"/>
    </i>
    <i r="1">
      <x v="7"/>
    </i>
    <i r="1">
      <x v="8"/>
    </i>
    <i r="1">
      <x v="9"/>
    </i>
    <i>
      <x v="1"/>
    </i>
    <i r="1">
      <x/>
    </i>
    <i r="1">
      <x v="1"/>
    </i>
    <i r="1">
      <x v="2"/>
    </i>
    <i r="1">
      <x v="3"/>
    </i>
    <i r="1">
      <x v="4"/>
    </i>
    <i r="1">
      <x v="5"/>
    </i>
    <i r="1">
      <x v="6"/>
    </i>
    <i r="1">
      <x v="7"/>
    </i>
    <i r="1">
      <x v="8"/>
    </i>
    <i r="1">
      <x v="9"/>
    </i>
    <i>
      <x v="2"/>
    </i>
    <i r="1">
      <x/>
    </i>
    <i r="1">
      <x v="1"/>
    </i>
    <i r="1">
      <x v="2"/>
    </i>
    <i r="1">
      <x v="3"/>
    </i>
    <i r="1">
      <x v="4"/>
    </i>
    <i r="1">
      <x v="5"/>
    </i>
    <i r="1">
      <x v="6"/>
    </i>
    <i r="1">
      <x v="7"/>
    </i>
    <i r="1">
      <x v="8"/>
    </i>
    <i r="1">
      <x v="9"/>
    </i>
    <i t="grand">
      <x/>
    </i>
  </rowItems>
  <colItems count="1">
    <i/>
  </colItems>
  <dataFields count="1">
    <dataField name="IMP"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xmlns:mc="http://schemas.openxmlformats.org/markup-compatibility/2006" xmlns:xr="http://schemas.microsoft.com/office/spreadsheetml/2014/revision" mc:Ignorable="xr" xr:uid="{B0F6DFDB-F91F-4C69-A245-F6E425D9DA46}" name="EV_HTIMPPVT2" cacheId="13"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AB51:AE85" firstHeaderRow="0" firstDataRow="1" firstDataCol="1"/>
  <pivotFields count="7">
    <pivotField axis="axisRow" showAll="0">
      <items count="11">
        <item x="0"/>
        <item x="1"/>
        <item x="2"/>
        <item x="3"/>
        <item x="4"/>
        <item x="5"/>
        <item x="6"/>
        <item x="7"/>
        <item x="8"/>
        <item x="9"/>
        <item t="default"/>
      </items>
    </pivotField>
    <pivotField axis="axisRow" showAll="0">
      <items count="4">
        <item x="2"/>
        <item x="0"/>
        <item x="1"/>
        <item t="default"/>
      </items>
    </pivotField>
    <pivotField dataField="1" showAll="0"/>
    <pivotField dataField="1" numFmtId="3" showAll="0"/>
    <pivotField dataField="1" numFmtId="3" showAll="0"/>
    <pivotField showAll="0"/>
    <pivotField showAll="0"/>
  </pivotFields>
  <rowFields count="2">
    <field x="1"/>
    <field x="0"/>
  </rowFields>
  <rowItems count="34">
    <i>
      <x/>
    </i>
    <i r="1">
      <x/>
    </i>
    <i r="1">
      <x v="1"/>
    </i>
    <i r="1">
      <x v="2"/>
    </i>
    <i r="1">
      <x v="3"/>
    </i>
    <i r="1">
      <x v="4"/>
    </i>
    <i r="1">
      <x v="5"/>
    </i>
    <i r="1">
      <x v="6"/>
    </i>
    <i r="1">
      <x v="7"/>
    </i>
    <i r="1">
      <x v="8"/>
    </i>
    <i r="1">
      <x v="9"/>
    </i>
    <i>
      <x v="1"/>
    </i>
    <i r="1">
      <x/>
    </i>
    <i r="1">
      <x v="1"/>
    </i>
    <i r="1">
      <x v="2"/>
    </i>
    <i r="1">
      <x v="3"/>
    </i>
    <i r="1">
      <x v="4"/>
    </i>
    <i r="1">
      <x v="5"/>
    </i>
    <i r="1">
      <x v="6"/>
    </i>
    <i r="1">
      <x v="7"/>
    </i>
    <i r="1">
      <x v="8"/>
    </i>
    <i r="1">
      <x v="9"/>
    </i>
    <i>
      <x v="2"/>
    </i>
    <i r="1">
      <x/>
    </i>
    <i r="1">
      <x v="1"/>
    </i>
    <i r="1">
      <x v="2"/>
    </i>
    <i r="1">
      <x v="3"/>
    </i>
    <i r="1">
      <x v="4"/>
    </i>
    <i r="1">
      <x v="5"/>
    </i>
    <i r="1">
      <x v="6"/>
    </i>
    <i r="1">
      <x v="7"/>
    </i>
    <i r="1">
      <x v="8"/>
    </i>
    <i r="1">
      <x v="9"/>
    </i>
    <i t="grand">
      <x/>
    </i>
  </rowItems>
  <colFields count="1">
    <field x="-2"/>
  </colFields>
  <colItems count="3">
    <i>
      <x/>
    </i>
    <i i="1">
      <x v="1"/>
    </i>
    <i i="2">
      <x v="2"/>
    </i>
  </colItems>
  <dataFields count="3">
    <dataField name="Last Year" fld="2" baseField="0" baseItem="0"/>
    <dataField name="Last Month" fld="3" baseField="0" baseItem="0"/>
    <dataField name="Curren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xmlns:mc="http://schemas.openxmlformats.org/markup-compatibility/2006" xmlns:xr="http://schemas.microsoft.com/office/spreadsheetml/2014/revision" mc:Ignorable="xr" xr:uid="{D8A37EF9-BF67-4C55-A66B-DE5A77C86FEB}" name="EV_HTPCTPVT2" cacheId="14"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AJ51:AM85" firstHeaderRow="0" firstDataRow="1" firstDataCol="1"/>
  <pivotFields count="7">
    <pivotField axis="axisRow" showAll="0">
      <items count="11">
        <item x="0"/>
        <item x="1"/>
        <item x="2"/>
        <item x="3"/>
        <item x="4"/>
        <item x="5"/>
        <item x="6"/>
        <item x="7"/>
        <item x="8"/>
        <item x="9"/>
        <item t="default"/>
      </items>
    </pivotField>
    <pivotField axis="axisRow" showAll="0">
      <items count="4">
        <item x="2"/>
        <item x="0"/>
        <item x="1"/>
        <item t="default"/>
      </items>
    </pivotField>
    <pivotField dataField="1" showAll="0"/>
    <pivotField dataField="1" numFmtId="164" showAll="0"/>
    <pivotField dataField="1" numFmtId="164" showAll="0"/>
    <pivotField showAll="0"/>
    <pivotField showAll="0"/>
  </pivotFields>
  <rowFields count="2">
    <field x="1"/>
    <field x="0"/>
  </rowFields>
  <rowItems count="34">
    <i>
      <x/>
    </i>
    <i r="1">
      <x/>
    </i>
    <i r="1">
      <x v="1"/>
    </i>
    <i r="1">
      <x v="2"/>
    </i>
    <i r="1">
      <x v="3"/>
    </i>
    <i r="1">
      <x v="4"/>
    </i>
    <i r="1">
      <x v="5"/>
    </i>
    <i r="1">
      <x v="6"/>
    </i>
    <i r="1">
      <x v="7"/>
    </i>
    <i r="1">
      <x v="8"/>
    </i>
    <i r="1">
      <x v="9"/>
    </i>
    <i>
      <x v="1"/>
    </i>
    <i r="1">
      <x/>
    </i>
    <i r="1">
      <x v="1"/>
    </i>
    <i r="1">
      <x v="2"/>
    </i>
    <i r="1">
      <x v="3"/>
    </i>
    <i r="1">
      <x v="4"/>
    </i>
    <i r="1">
      <x v="5"/>
    </i>
    <i r="1">
      <x v="6"/>
    </i>
    <i r="1">
      <x v="7"/>
    </i>
    <i r="1">
      <x v="8"/>
    </i>
    <i r="1">
      <x v="9"/>
    </i>
    <i>
      <x v="2"/>
    </i>
    <i r="1">
      <x/>
    </i>
    <i r="1">
      <x v="1"/>
    </i>
    <i r="1">
      <x v="2"/>
    </i>
    <i r="1">
      <x v="3"/>
    </i>
    <i r="1">
      <x v="4"/>
    </i>
    <i r="1">
      <x v="5"/>
    </i>
    <i r="1">
      <x v="6"/>
    </i>
    <i r="1">
      <x v="7"/>
    </i>
    <i r="1">
      <x v="8"/>
    </i>
    <i r="1">
      <x v="9"/>
    </i>
    <i t="grand">
      <x/>
    </i>
  </rowItems>
  <colFields count="1">
    <field x="-2"/>
  </colFields>
  <colItems count="3">
    <i>
      <x/>
    </i>
    <i i="1">
      <x v="1"/>
    </i>
    <i i="2">
      <x v="2"/>
    </i>
  </colItems>
  <dataFields count="3">
    <dataField name="Last Year" fld="2" baseField="0" baseItem="0" numFmtId="2"/>
    <dataField name="Last Month" fld="3" baseField="0" baseItem="0" numFmtId="2"/>
    <dataField name="Current" fld="4"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xmlns:mc="http://schemas.openxmlformats.org/markup-compatibility/2006" xmlns:xr="http://schemas.microsoft.com/office/spreadsheetml/2014/revision" mc:Ignorable="xr" xr:uid="{C084F61F-4B51-4BCF-8493-689EBA28A73F}" name="EV_RTGPVT3" cacheId="10"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D88:D92" firstHeaderRow="1" firstDataRow="1" firstDataCol="1"/>
  <pivotFields count="7">
    <pivotField showAll="0"/>
    <pivotField axis="axisRow" showAll="0">
      <items count="4">
        <item x="2"/>
        <item x="0"/>
        <item x="1"/>
        <item t="default"/>
      </items>
    </pivotField>
    <pivotField showAll="0"/>
    <pivotField numFmtId="164" showAll="0"/>
    <pivotField numFmtId="164" showAll="0"/>
    <pivotField showAll="0"/>
    <pivotField showAll="0"/>
  </pivotFields>
  <rowFields count="1">
    <field x="1"/>
  </rowFields>
  <rowItems count="4">
    <i>
      <x/>
    </i>
    <i>
      <x v="1"/>
    </i>
    <i>
      <x v="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xmlns:mc="http://schemas.openxmlformats.org/markup-compatibility/2006" xmlns:xr="http://schemas.microsoft.com/office/spreadsheetml/2014/revision" mc:Ignorable="xr" xr:uid="{DA6F9568-C695-4884-ACFD-84B965CC8DC6}" name="EV_SHRPVT4" cacheId="11" applyNumberFormats="0" applyBorderFormats="0" applyFontFormats="0" applyPatternFormats="0" applyAlignmentFormats="0" applyWidthHeightFormats="1" dataCaption="Values" updatedVersion="8" minRefreshableVersion="3" useAutoFormatting="1" rowGrandTotals="0" itemPrintTitles="1" createdVersion="5" indent="0" showHeaders="0" outline="1" outlineData="1" multipleFieldFilters="0">
  <location ref="CA35:CA44" firstHeaderRow="0" firstDataRow="0" firstDataCol="1"/>
  <pivotFields count="7">
    <pivotField axis="axisRow" showAll="0">
      <items count="11">
        <item x="0"/>
        <item x="1"/>
        <item x="2"/>
        <item x="3"/>
        <item x="4"/>
        <item x="5"/>
        <item x="6"/>
        <item x="7"/>
        <item x="8"/>
        <item x="9"/>
        <item t="default"/>
      </items>
    </pivotField>
    <pivotField showAll="0"/>
    <pivotField showAll="0"/>
    <pivotField numFmtId="3" showAll="0"/>
    <pivotField numFmtId="3" showAll="0"/>
    <pivotField showAll="0"/>
    <pivotField showAll="0"/>
  </pivotFields>
  <rowFields count="1">
    <field x="0"/>
  </rowFields>
  <rowItems count="10">
    <i>
      <x/>
    </i>
    <i>
      <x v="1"/>
    </i>
    <i>
      <x v="2"/>
    </i>
    <i>
      <x v="3"/>
    </i>
    <i>
      <x v="4"/>
    </i>
    <i>
      <x v="5"/>
    </i>
    <i>
      <x v="6"/>
    </i>
    <i>
      <x v="7"/>
    </i>
    <i>
      <x v="8"/>
    </i>
    <i>
      <x v="9"/>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xmlns:mc="http://schemas.openxmlformats.org/markup-compatibility/2006" xmlns:xr="http://schemas.microsoft.com/office/spreadsheetml/2014/revision" mc:Ignorable="xr" xr:uid="{603E7BC0-AA65-4F96-8DB8-4FA26D64ACB2}" name="EV_HTIMPPVT1" cacheId="13"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Y51:Z85" firstHeaderRow="1" firstDataRow="1" firstDataCol="1"/>
  <pivotFields count="7">
    <pivotField axis="axisRow" showAll="0">
      <items count="11">
        <item x="0"/>
        <item x="1"/>
        <item x="2"/>
        <item x="3"/>
        <item x="4"/>
        <item x="5"/>
        <item x="6"/>
        <item x="7"/>
        <item x="8"/>
        <item x="9"/>
        <item t="default"/>
      </items>
    </pivotField>
    <pivotField axis="axisRow" showAll="0">
      <items count="4">
        <item x="2"/>
        <item x="0"/>
        <item x="1"/>
        <item t="default"/>
      </items>
    </pivotField>
    <pivotField showAll="0"/>
    <pivotField numFmtId="3" showAll="0"/>
    <pivotField dataField="1" numFmtId="3" showAll="0"/>
    <pivotField showAll="0"/>
    <pivotField showAll="0"/>
  </pivotFields>
  <rowFields count="2">
    <field x="1"/>
    <field x="0"/>
  </rowFields>
  <rowItems count="34">
    <i>
      <x/>
    </i>
    <i r="1">
      <x/>
    </i>
    <i r="1">
      <x v="1"/>
    </i>
    <i r="1">
      <x v="2"/>
    </i>
    <i r="1">
      <x v="3"/>
    </i>
    <i r="1">
      <x v="4"/>
    </i>
    <i r="1">
      <x v="5"/>
    </i>
    <i r="1">
      <x v="6"/>
    </i>
    <i r="1">
      <x v="7"/>
    </i>
    <i r="1">
      <x v="8"/>
    </i>
    <i r="1">
      <x v="9"/>
    </i>
    <i>
      <x v="1"/>
    </i>
    <i r="1">
      <x/>
    </i>
    <i r="1">
      <x v="1"/>
    </i>
    <i r="1">
      <x v="2"/>
    </i>
    <i r="1">
      <x v="3"/>
    </i>
    <i r="1">
      <x v="4"/>
    </i>
    <i r="1">
      <x v="5"/>
    </i>
    <i r="1">
      <x v="6"/>
    </i>
    <i r="1">
      <x v="7"/>
    </i>
    <i r="1">
      <x v="8"/>
    </i>
    <i r="1">
      <x v="9"/>
    </i>
    <i>
      <x v="2"/>
    </i>
    <i r="1">
      <x/>
    </i>
    <i r="1">
      <x v="1"/>
    </i>
    <i r="1">
      <x v="2"/>
    </i>
    <i r="1">
      <x v="3"/>
    </i>
    <i r="1">
      <x v="4"/>
    </i>
    <i r="1">
      <x v="5"/>
    </i>
    <i r="1">
      <x v="6"/>
    </i>
    <i r="1">
      <x v="7"/>
    </i>
    <i r="1">
      <x v="8"/>
    </i>
    <i r="1">
      <x v="9"/>
    </i>
    <i t="grand">
      <x/>
    </i>
  </rowItems>
  <colItems count="1">
    <i/>
  </colItems>
  <dataFields count="1">
    <dataField name="H/P IMP"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xmlns:mc="http://schemas.openxmlformats.org/markup-compatibility/2006" xmlns:xr="http://schemas.microsoft.com/office/spreadsheetml/2014/revision" mc:Ignorable="xr" xr:uid="{EAA9842C-6288-4294-B6AA-D91B2181C930}" name="EV_SHRPVT3" cacheId="11"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L88:L92" firstHeaderRow="1" firstDataRow="1" firstDataCol="1"/>
  <pivotFields count="7">
    <pivotField showAll="0"/>
    <pivotField axis="axisRow" showAll="0">
      <items count="4">
        <item x="2"/>
        <item x="0"/>
        <item x="1"/>
        <item t="default"/>
      </items>
    </pivotField>
    <pivotField showAll="0"/>
    <pivotField numFmtId="3" showAll="0"/>
    <pivotField numFmtId="3" showAll="0"/>
    <pivotField showAll="0"/>
    <pivotField showAll="0"/>
  </pivotFields>
  <rowFields count="1">
    <field x="1"/>
  </rowFields>
  <rowItems count="4">
    <i>
      <x/>
    </i>
    <i>
      <x v="1"/>
    </i>
    <i>
      <x v="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xmlns:mc="http://schemas.openxmlformats.org/markup-compatibility/2006" xmlns:xr="http://schemas.microsoft.com/office/spreadsheetml/2014/revision" mc:Ignorable="xr" xr:uid="{9A9FDC41-FE88-4D9A-9B7F-16F790159A93}" name="EV_IMPPVT4" cacheId="12" applyNumberFormats="0" applyBorderFormats="0" applyFontFormats="0" applyPatternFormats="0" applyAlignmentFormats="0" applyWidthHeightFormats="1" dataCaption="Values" updatedVersion="8" minRefreshableVersion="3" useAutoFormatting="1" rowGrandTotals="0" itemPrintTitles="1" createdVersion="5" indent="0" showHeaders="0" outline="1" outlineData="1" multipleFieldFilters="0">
  <location ref="CG35:CG44" firstHeaderRow="0" firstDataRow="0" firstDataCol="1"/>
  <pivotFields count="7">
    <pivotField axis="axisRow" showAll="0">
      <items count="11">
        <item x="0"/>
        <item x="1"/>
        <item x="2"/>
        <item x="3"/>
        <item x="4"/>
        <item x="5"/>
        <item x="6"/>
        <item x="7"/>
        <item x="8"/>
        <item x="9"/>
        <item t="default"/>
      </items>
    </pivotField>
    <pivotField showAll="0"/>
    <pivotField showAll="0"/>
    <pivotField numFmtId="3" showAll="0"/>
    <pivotField numFmtId="3" showAll="0"/>
    <pivotField showAll="0"/>
    <pivotField showAll="0"/>
  </pivotFields>
  <rowFields count="1">
    <field x="0"/>
  </rowFields>
  <rowItems count="10">
    <i>
      <x/>
    </i>
    <i>
      <x v="1"/>
    </i>
    <i>
      <x v="2"/>
    </i>
    <i>
      <x v="3"/>
    </i>
    <i>
      <x v="4"/>
    </i>
    <i>
      <x v="5"/>
    </i>
    <i>
      <x v="6"/>
    </i>
    <i>
      <x v="7"/>
    </i>
    <i>
      <x v="8"/>
    </i>
    <i>
      <x v="9"/>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xmlns:mc="http://schemas.openxmlformats.org/markup-compatibility/2006" xmlns:xr="http://schemas.microsoft.com/office/spreadsheetml/2014/revision" mc:Ignorable="xr" xr:uid="{E71217AC-5EE1-463C-A1C4-FC33CBD68B2A}" name="EV_HTPCTPVT1" cacheId="14"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AG51:AH85" firstHeaderRow="1" firstDataRow="1" firstDataCol="1"/>
  <pivotFields count="7">
    <pivotField axis="axisRow" showAll="0">
      <items count="11">
        <item x="0"/>
        <item x="1"/>
        <item x="2"/>
        <item x="3"/>
        <item x="4"/>
        <item x="5"/>
        <item x="6"/>
        <item x="7"/>
        <item x="8"/>
        <item x="9"/>
        <item t="default"/>
      </items>
    </pivotField>
    <pivotField axis="axisRow" showAll="0">
      <items count="4">
        <item x="2"/>
        <item x="0"/>
        <item x="1"/>
        <item t="default"/>
      </items>
    </pivotField>
    <pivotField showAll="0"/>
    <pivotField numFmtId="164" showAll="0"/>
    <pivotField dataField="1" numFmtId="164" showAll="0"/>
    <pivotField showAll="0"/>
    <pivotField showAll="0"/>
  </pivotFields>
  <rowFields count="2">
    <field x="1"/>
    <field x="0"/>
  </rowFields>
  <rowItems count="34">
    <i>
      <x/>
    </i>
    <i r="1">
      <x/>
    </i>
    <i r="1">
      <x v="1"/>
    </i>
    <i r="1">
      <x v="2"/>
    </i>
    <i r="1">
      <x v="3"/>
    </i>
    <i r="1">
      <x v="4"/>
    </i>
    <i r="1">
      <x v="5"/>
    </i>
    <i r="1">
      <x v="6"/>
    </i>
    <i r="1">
      <x v="7"/>
    </i>
    <i r="1">
      <x v="8"/>
    </i>
    <i r="1">
      <x v="9"/>
    </i>
    <i>
      <x v="1"/>
    </i>
    <i r="1">
      <x/>
    </i>
    <i r="1">
      <x v="1"/>
    </i>
    <i r="1">
      <x v="2"/>
    </i>
    <i r="1">
      <x v="3"/>
    </i>
    <i r="1">
      <x v="4"/>
    </i>
    <i r="1">
      <x v="5"/>
    </i>
    <i r="1">
      <x v="6"/>
    </i>
    <i r="1">
      <x v="7"/>
    </i>
    <i r="1">
      <x v="8"/>
    </i>
    <i r="1">
      <x v="9"/>
    </i>
    <i>
      <x v="2"/>
    </i>
    <i r="1">
      <x/>
    </i>
    <i r="1">
      <x v="1"/>
    </i>
    <i r="1">
      <x v="2"/>
    </i>
    <i r="1">
      <x v="3"/>
    </i>
    <i r="1">
      <x v="4"/>
    </i>
    <i r="1">
      <x v="5"/>
    </i>
    <i r="1">
      <x v="6"/>
    </i>
    <i r="1">
      <x v="7"/>
    </i>
    <i r="1">
      <x v="8"/>
    </i>
    <i r="1">
      <x v="9"/>
    </i>
    <i t="grand">
      <x/>
    </i>
  </rowItems>
  <colItems count="1">
    <i/>
  </colItems>
  <dataFields count="1">
    <dataField name="H/P %" fld="4"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4.xml><?xml version="1.0" encoding="utf-8"?>
<pivotTableDefinition xmlns="http://schemas.openxmlformats.org/spreadsheetml/2006/main" xmlns:mc="http://schemas.openxmlformats.org/markup-compatibility/2006" xmlns:xr="http://schemas.microsoft.com/office/spreadsheetml/2014/revision" mc:Ignorable="xr" xr:uid="{0CCC66DE-A23E-40B9-853D-96EB3677B94A}" name="EV_RTGPVT2" cacheId="10"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4">
  <location ref="D51:G85" firstHeaderRow="0" firstDataRow="1" firstDataCol="1"/>
  <pivotFields count="7">
    <pivotField axis="axisRow" showAll="0">
      <items count="11">
        <item x="0"/>
        <item x="1"/>
        <item x="2"/>
        <item x="3"/>
        <item x="4"/>
        <item x="5"/>
        <item x="6"/>
        <item x="7"/>
        <item x="8"/>
        <item x="9"/>
        <item t="default"/>
      </items>
    </pivotField>
    <pivotField axis="axisRow" showAll="0">
      <items count="4">
        <item x="2"/>
        <item x="0"/>
        <item x="1"/>
        <item t="default"/>
      </items>
    </pivotField>
    <pivotField dataField="1" showAll="0"/>
    <pivotField dataField="1" numFmtId="164" showAll="0"/>
    <pivotField dataField="1" numFmtId="164" showAll="0"/>
    <pivotField showAll="0"/>
    <pivotField showAll="0"/>
  </pivotFields>
  <rowFields count="2">
    <field x="1"/>
    <field x="0"/>
  </rowFields>
  <rowItems count="34">
    <i>
      <x/>
    </i>
    <i r="1">
      <x/>
    </i>
    <i r="1">
      <x v="1"/>
    </i>
    <i r="1">
      <x v="2"/>
    </i>
    <i r="1">
      <x v="3"/>
    </i>
    <i r="1">
      <x v="4"/>
    </i>
    <i r="1">
      <x v="5"/>
    </i>
    <i r="1">
      <x v="6"/>
    </i>
    <i r="1">
      <x v="7"/>
    </i>
    <i r="1">
      <x v="8"/>
    </i>
    <i r="1">
      <x v="9"/>
    </i>
    <i>
      <x v="1"/>
    </i>
    <i r="1">
      <x/>
    </i>
    <i r="1">
      <x v="1"/>
    </i>
    <i r="1">
      <x v="2"/>
    </i>
    <i r="1">
      <x v="3"/>
    </i>
    <i r="1">
      <x v="4"/>
    </i>
    <i r="1">
      <x v="5"/>
    </i>
    <i r="1">
      <x v="6"/>
    </i>
    <i r="1">
      <x v="7"/>
    </i>
    <i r="1">
      <x v="8"/>
    </i>
    <i r="1">
      <x v="9"/>
    </i>
    <i>
      <x v="2"/>
    </i>
    <i r="1">
      <x/>
    </i>
    <i r="1">
      <x v="1"/>
    </i>
    <i r="1">
      <x v="2"/>
    </i>
    <i r="1">
      <x v="3"/>
    </i>
    <i r="1">
      <x v="4"/>
    </i>
    <i r="1">
      <x v="5"/>
    </i>
    <i r="1">
      <x v="6"/>
    </i>
    <i r="1">
      <x v="7"/>
    </i>
    <i r="1">
      <x v="8"/>
    </i>
    <i r="1">
      <x v="9"/>
    </i>
    <i t="grand">
      <x/>
    </i>
  </rowItems>
  <colFields count="1">
    <field x="-2"/>
  </colFields>
  <colItems count="3">
    <i>
      <x/>
    </i>
    <i i="1">
      <x v="1"/>
    </i>
    <i i="2">
      <x v="2"/>
    </i>
  </colItems>
  <dataFields count="3">
    <dataField name="Last Year" fld="2" baseField="0" baseItem="0" numFmtId="2"/>
    <dataField name="Last Month" fld="3" baseField="0" baseItem="0" numFmtId="2"/>
    <dataField name="Current" fld="4"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5.xml><?xml version="1.0" encoding="utf-8"?>
<pivotTableDefinition xmlns="http://schemas.openxmlformats.org/spreadsheetml/2006/main" xmlns:mc="http://schemas.openxmlformats.org/markup-compatibility/2006" xmlns:xr="http://schemas.microsoft.com/office/spreadsheetml/2014/revision" mc:Ignorable="xr" xr:uid="{621D462D-6B62-490B-A22F-041B4998D169}" name="EV_IMPPVT3" cacheId="12"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T88:T92" firstHeaderRow="1" firstDataRow="1" firstDataCol="1"/>
  <pivotFields count="7">
    <pivotField showAll="0"/>
    <pivotField axis="axisRow" showAll="0">
      <items count="4">
        <item x="2"/>
        <item x="0"/>
        <item x="1"/>
        <item t="default"/>
      </items>
    </pivotField>
    <pivotField showAll="0"/>
    <pivotField numFmtId="3" showAll="0"/>
    <pivotField numFmtId="3" showAll="0"/>
    <pivotField showAll="0"/>
    <pivotField showAll="0"/>
  </pivotFields>
  <rowFields count="1">
    <field x="1"/>
  </rowFields>
  <rowItems count="4">
    <i>
      <x/>
    </i>
    <i>
      <x v="1"/>
    </i>
    <i>
      <x v="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6.xml><?xml version="1.0" encoding="utf-8"?>
<pivotTableDefinition xmlns="http://schemas.openxmlformats.org/spreadsheetml/2006/main" xmlns:mc="http://schemas.openxmlformats.org/markup-compatibility/2006" xmlns:xr="http://schemas.microsoft.com/office/spreadsheetml/2014/revision" mc:Ignorable="xr" xr:uid="{145A940A-3ED8-469A-ADB1-7CAFA97B68D7}" name="EV_SHRPVT2" cacheId="11"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L51:O85" firstHeaderRow="0" firstDataRow="1" firstDataCol="1"/>
  <pivotFields count="7">
    <pivotField axis="axisRow" showAll="0">
      <items count="11">
        <item x="0"/>
        <item x="1"/>
        <item x="2"/>
        <item x="3"/>
        <item x="4"/>
        <item x="5"/>
        <item x="6"/>
        <item x="7"/>
        <item x="8"/>
        <item x="9"/>
        <item t="default"/>
      </items>
    </pivotField>
    <pivotField axis="axisRow" showAll="0">
      <items count="4">
        <item x="2"/>
        <item x="0"/>
        <item x="1"/>
        <item t="default"/>
      </items>
    </pivotField>
    <pivotField dataField="1" showAll="0"/>
    <pivotField dataField="1" numFmtId="3" showAll="0"/>
    <pivotField dataField="1" numFmtId="3" showAll="0"/>
    <pivotField showAll="0"/>
    <pivotField showAll="0"/>
  </pivotFields>
  <rowFields count="2">
    <field x="1"/>
    <field x="0"/>
  </rowFields>
  <rowItems count="34">
    <i>
      <x/>
    </i>
    <i r="1">
      <x/>
    </i>
    <i r="1">
      <x v="1"/>
    </i>
    <i r="1">
      <x v="2"/>
    </i>
    <i r="1">
      <x v="3"/>
    </i>
    <i r="1">
      <x v="4"/>
    </i>
    <i r="1">
      <x v="5"/>
    </i>
    <i r="1">
      <x v="6"/>
    </i>
    <i r="1">
      <x v="7"/>
    </i>
    <i r="1">
      <x v="8"/>
    </i>
    <i r="1">
      <x v="9"/>
    </i>
    <i>
      <x v="1"/>
    </i>
    <i r="1">
      <x/>
    </i>
    <i r="1">
      <x v="1"/>
    </i>
    <i r="1">
      <x v="2"/>
    </i>
    <i r="1">
      <x v="3"/>
    </i>
    <i r="1">
      <x v="4"/>
    </i>
    <i r="1">
      <x v="5"/>
    </i>
    <i r="1">
      <x v="6"/>
    </i>
    <i r="1">
      <x v="7"/>
    </i>
    <i r="1">
      <x v="8"/>
    </i>
    <i r="1">
      <x v="9"/>
    </i>
    <i>
      <x v="2"/>
    </i>
    <i r="1">
      <x/>
    </i>
    <i r="1">
      <x v="1"/>
    </i>
    <i r="1">
      <x v="2"/>
    </i>
    <i r="1">
      <x v="3"/>
    </i>
    <i r="1">
      <x v="4"/>
    </i>
    <i r="1">
      <x v="5"/>
    </i>
    <i r="1">
      <x v="6"/>
    </i>
    <i r="1">
      <x v="7"/>
    </i>
    <i r="1">
      <x v="8"/>
    </i>
    <i r="1">
      <x v="9"/>
    </i>
    <i t="grand">
      <x/>
    </i>
  </rowItems>
  <colFields count="1">
    <field x="-2"/>
  </colFields>
  <colItems count="3">
    <i>
      <x/>
    </i>
    <i i="1">
      <x v="1"/>
    </i>
    <i i="2">
      <x v="2"/>
    </i>
  </colItems>
  <dataFields count="3">
    <dataField name="Last Year" fld="2" baseField="0" baseItem="0" numFmtId="2"/>
    <dataField name="Last Month" fld="3" baseField="0" baseItem="0" numFmtId="2"/>
    <dataField name="Current" fld="4"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7.xml><?xml version="1.0" encoding="utf-8"?>
<pivotTableDefinition xmlns="http://schemas.openxmlformats.org/spreadsheetml/2006/main" xmlns:mc="http://schemas.openxmlformats.org/markup-compatibility/2006" xmlns:xr="http://schemas.microsoft.com/office/spreadsheetml/2014/revision" mc:Ignorable="xr" xr:uid="{FFC7928A-24D6-46FF-9F4B-527B6E27F7B9}" name="EV_HTIMPPVT4" cacheId="13" applyNumberFormats="0" applyBorderFormats="0" applyFontFormats="0" applyPatternFormats="0" applyAlignmentFormats="0" applyWidthHeightFormats="1" dataCaption="Values" updatedVersion="8" minRefreshableVersion="3" useAutoFormatting="1" rowGrandTotals="0" itemPrintTitles="1" createdVersion="5" indent="0" showHeaders="0" outline="1" outlineData="1" multipleFieldFilters="0">
  <location ref="CM35:CM44" firstHeaderRow="0" firstDataRow="0" firstDataCol="1"/>
  <pivotFields count="7">
    <pivotField axis="axisRow" showAll="0">
      <items count="11">
        <item x="0"/>
        <item x="1"/>
        <item x="2"/>
        <item x="3"/>
        <item x="4"/>
        <item x="5"/>
        <item x="6"/>
        <item x="7"/>
        <item x="8"/>
        <item x="9"/>
        <item t="default"/>
      </items>
    </pivotField>
    <pivotField showAll="0"/>
    <pivotField showAll="0"/>
    <pivotField numFmtId="3" showAll="0"/>
    <pivotField numFmtId="3" showAll="0"/>
    <pivotField showAll="0"/>
    <pivotField showAll="0"/>
  </pivotFields>
  <rowFields count="1">
    <field x="0"/>
  </rowFields>
  <rowItems count="10">
    <i>
      <x/>
    </i>
    <i>
      <x v="1"/>
    </i>
    <i>
      <x v="2"/>
    </i>
    <i>
      <x v="3"/>
    </i>
    <i>
      <x v="4"/>
    </i>
    <i>
      <x v="5"/>
    </i>
    <i>
      <x v="6"/>
    </i>
    <i>
      <x v="7"/>
    </i>
    <i>
      <x v="8"/>
    </i>
    <i>
      <x v="9"/>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8.xml><?xml version="1.0" encoding="utf-8"?>
<pivotTableDefinition xmlns="http://schemas.openxmlformats.org/spreadsheetml/2006/main" xmlns:mc="http://schemas.openxmlformats.org/markup-compatibility/2006" xmlns:xr="http://schemas.microsoft.com/office/spreadsheetml/2014/revision" mc:Ignorable="xr" xr:uid="{59D0AE31-578C-4120-AFAE-78D8F85FE8EC}" name="EV_IMPPVT2" cacheId="12"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T51:W85" firstHeaderRow="0" firstDataRow="1" firstDataCol="1"/>
  <pivotFields count="7">
    <pivotField axis="axisRow" showAll="0">
      <items count="11">
        <item x="0"/>
        <item x="1"/>
        <item x="2"/>
        <item x="3"/>
        <item x="4"/>
        <item x="5"/>
        <item x="6"/>
        <item x="7"/>
        <item x="8"/>
        <item x="9"/>
        <item t="default"/>
      </items>
    </pivotField>
    <pivotField axis="axisRow" showAll="0">
      <items count="4">
        <item x="2"/>
        <item x="0"/>
        <item x="1"/>
        <item t="default"/>
      </items>
    </pivotField>
    <pivotField dataField="1" showAll="0"/>
    <pivotField dataField="1" numFmtId="3" showAll="0"/>
    <pivotField dataField="1" numFmtId="3" showAll="0"/>
    <pivotField showAll="0"/>
    <pivotField showAll="0"/>
  </pivotFields>
  <rowFields count="2">
    <field x="1"/>
    <field x="0"/>
  </rowFields>
  <rowItems count="34">
    <i>
      <x/>
    </i>
    <i r="1">
      <x/>
    </i>
    <i r="1">
      <x v="1"/>
    </i>
    <i r="1">
      <x v="2"/>
    </i>
    <i r="1">
      <x v="3"/>
    </i>
    <i r="1">
      <x v="4"/>
    </i>
    <i r="1">
      <x v="5"/>
    </i>
    <i r="1">
      <x v="6"/>
    </i>
    <i r="1">
      <x v="7"/>
    </i>
    <i r="1">
      <x v="8"/>
    </i>
    <i r="1">
      <x v="9"/>
    </i>
    <i>
      <x v="1"/>
    </i>
    <i r="1">
      <x/>
    </i>
    <i r="1">
      <x v="1"/>
    </i>
    <i r="1">
      <x v="2"/>
    </i>
    <i r="1">
      <x v="3"/>
    </i>
    <i r="1">
      <x v="4"/>
    </i>
    <i r="1">
      <x v="5"/>
    </i>
    <i r="1">
      <x v="6"/>
    </i>
    <i r="1">
      <x v="7"/>
    </i>
    <i r="1">
      <x v="8"/>
    </i>
    <i r="1">
      <x v="9"/>
    </i>
    <i>
      <x v="2"/>
    </i>
    <i r="1">
      <x/>
    </i>
    <i r="1">
      <x v="1"/>
    </i>
    <i r="1">
      <x v="2"/>
    </i>
    <i r="1">
      <x v="3"/>
    </i>
    <i r="1">
      <x v="4"/>
    </i>
    <i r="1">
      <x v="5"/>
    </i>
    <i r="1">
      <x v="6"/>
    </i>
    <i r="1">
      <x v="7"/>
    </i>
    <i r="1">
      <x v="8"/>
    </i>
    <i r="1">
      <x v="9"/>
    </i>
    <i t="grand">
      <x/>
    </i>
  </rowItems>
  <colFields count="1">
    <field x="-2"/>
  </colFields>
  <colItems count="3">
    <i>
      <x/>
    </i>
    <i i="1">
      <x v="1"/>
    </i>
    <i i="2">
      <x v="2"/>
    </i>
  </colItems>
  <dataFields count="3">
    <dataField name="Last Year" fld="2" baseField="0" baseItem="0"/>
    <dataField name="Last Month" fld="3" baseField="0" baseItem="0"/>
    <dataField name="Curren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9.xml><?xml version="1.0" encoding="utf-8"?>
<pivotTableDefinition xmlns="http://schemas.openxmlformats.org/spreadsheetml/2006/main" xmlns:mc="http://schemas.openxmlformats.org/markup-compatibility/2006" xmlns:xr="http://schemas.microsoft.com/office/spreadsheetml/2014/revision" mc:Ignorable="xr" xr:uid="{B849139C-4267-4945-ABB6-3762F183C047}" name="EV_HTIMPPVT3" cacheId="13"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AB88:AB92" firstHeaderRow="1" firstDataRow="1" firstDataCol="1"/>
  <pivotFields count="7">
    <pivotField showAll="0"/>
    <pivotField axis="axisRow" showAll="0">
      <items count="4">
        <item x="2"/>
        <item x="0"/>
        <item x="1"/>
        <item t="default"/>
      </items>
    </pivotField>
    <pivotField showAll="0"/>
    <pivotField numFmtId="3" showAll="0"/>
    <pivotField numFmtId="3" showAll="0"/>
    <pivotField showAll="0"/>
    <pivotField showAll="0"/>
  </pivotFields>
  <rowFields count="1">
    <field x="1"/>
  </rowFields>
  <rowItems count="4">
    <i>
      <x/>
    </i>
    <i>
      <x v="1"/>
    </i>
    <i>
      <x v="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0.xml><?xml version="1.0" encoding="utf-8"?>
<pivotTableDefinition xmlns="http://schemas.openxmlformats.org/spreadsheetml/2006/main" xmlns:mc="http://schemas.openxmlformats.org/markup-compatibility/2006" xmlns:xr="http://schemas.microsoft.com/office/spreadsheetml/2014/revision" mc:Ignorable="xr" xr:uid="{4C1BAD17-859F-4865-9B14-D57A837AA384}" name="EV_HTPCTPVT4" cacheId="14" applyNumberFormats="0" applyBorderFormats="0" applyFontFormats="0" applyPatternFormats="0" applyAlignmentFormats="0" applyWidthHeightFormats="1" dataCaption="Values" updatedVersion="8" minRefreshableVersion="3" useAutoFormatting="1" rowGrandTotals="0" itemPrintTitles="1" createdVersion="5" indent="0" showHeaders="0" outline="1" outlineData="1" multipleFieldFilters="0">
  <location ref="CS35:CS44" firstHeaderRow="0" firstDataRow="0" firstDataCol="1"/>
  <pivotFields count="7">
    <pivotField axis="axisRow" showAll="0">
      <items count="11">
        <item x="0"/>
        <item x="1"/>
        <item x="2"/>
        <item x="3"/>
        <item x="4"/>
        <item x="5"/>
        <item x="6"/>
        <item x="7"/>
        <item x="8"/>
        <item x="9"/>
        <item t="default"/>
      </items>
    </pivotField>
    <pivotField showAll="0"/>
    <pivotField showAll="0"/>
    <pivotField numFmtId="164" showAll="0"/>
    <pivotField numFmtId="164" showAll="0"/>
    <pivotField showAll="0"/>
    <pivotField showAll="0"/>
  </pivotFields>
  <rowFields count="1">
    <field x="0"/>
  </rowFields>
  <rowItems count="10">
    <i>
      <x/>
    </i>
    <i>
      <x v="1"/>
    </i>
    <i>
      <x v="2"/>
    </i>
    <i>
      <x v="3"/>
    </i>
    <i>
      <x v="4"/>
    </i>
    <i>
      <x v="5"/>
    </i>
    <i>
      <x v="6"/>
    </i>
    <i>
      <x v="7"/>
    </i>
    <i>
      <x v="8"/>
    </i>
    <i>
      <x v="9"/>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1.xml><?xml version="1.0" encoding="utf-8"?>
<pivotTableDefinition xmlns="http://schemas.openxmlformats.org/spreadsheetml/2006/main" xmlns:mc="http://schemas.openxmlformats.org/markup-compatibility/2006" xmlns:xr="http://schemas.microsoft.com/office/spreadsheetml/2014/revision" mc:Ignorable="xr" xr:uid="{0DA04509-C45A-4EFD-829B-C78A07D2DB7B}" name="LN_HTPCTPVT2" cacheId="19"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AJ35:AM57" firstHeaderRow="0" firstDataRow="1" firstDataCol="1"/>
  <pivotFields count="7">
    <pivotField axis="axisRow" showAll="0">
      <items count="7">
        <item x="0"/>
        <item x="1"/>
        <item x="2"/>
        <item x="3"/>
        <item x="4"/>
        <item x="5"/>
        <item t="default"/>
      </items>
    </pivotField>
    <pivotField axis="axisRow" showAll="0">
      <items count="4">
        <item x="2"/>
        <item x="0"/>
        <item x="1"/>
        <item t="default"/>
      </items>
    </pivotField>
    <pivotField dataField="1" numFmtId="164" showAll="0"/>
    <pivotField dataField="1" numFmtId="164" showAll="0"/>
    <pivotField dataField="1" numFmtId="164" showAll="0"/>
    <pivotField showAll="0"/>
    <pivotField showAll="0"/>
  </pivotFields>
  <rowFields count="2">
    <field x="1"/>
    <field x="0"/>
  </rowFields>
  <rowItems count="22">
    <i>
      <x/>
    </i>
    <i r="1">
      <x/>
    </i>
    <i r="1">
      <x v="1"/>
    </i>
    <i r="1">
      <x v="2"/>
    </i>
    <i r="1">
      <x v="3"/>
    </i>
    <i r="1">
      <x v="4"/>
    </i>
    <i r="1">
      <x v="5"/>
    </i>
    <i>
      <x v="1"/>
    </i>
    <i r="1">
      <x/>
    </i>
    <i r="1">
      <x v="1"/>
    </i>
    <i r="1">
      <x v="2"/>
    </i>
    <i r="1">
      <x v="3"/>
    </i>
    <i r="1">
      <x v="4"/>
    </i>
    <i r="1">
      <x v="5"/>
    </i>
    <i>
      <x v="2"/>
    </i>
    <i r="1">
      <x/>
    </i>
    <i r="1">
      <x v="1"/>
    </i>
    <i r="1">
      <x v="2"/>
    </i>
    <i r="1">
      <x v="3"/>
    </i>
    <i r="1">
      <x v="4"/>
    </i>
    <i r="1">
      <x v="5"/>
    </i>
    <i t="grand">
      <x/>
    </i>
  </rowItems>
  <colFields count="1">
    <field x="-2"/>
  </colFields>
  <colItems count="3">
    <i>
      <x/>
    </i>
    <i i="1">
      <x v="1"/>
    </i>
    <i i="2">
      <x v="2"/>
    </i>
  </colItems>
  <dataFields count="3">
    <dataField name="Last Year" fld="2" baseField="0" baseItem="0" numFmtId="2"/>
    <dataField name="Last Month" fld="3" baseField="0" baseItem="0" numFmtId="2"/>
    <dataField name="Current" fld="4"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2.xml><?xml version="1.0" encoding="utf-8"?>
<pivotTableDefinition xmlns="http://schemas.openxmlformats.org/spreadsheetml/2006/main" xmlns:mc="http://schemas.openxmlformats.org/markup-compatibility/2006" xmlns:xr="http://schemas.microsoft.com/office/spreadsheetml/2014/revision" mc:Ignorable="xr" xr:uid="{0436945F-BD4A-457C-A724-E64A86CC98C1}" name="LN_RTGPVT3" cacheId="15"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D60:D64" firstHeaderRow="1" firstDataRow="1" firstDataCol="1"/>
  <pivotFields count="7">
    <pivotField showAll="0"/>
    <pivotField axis="axisRow" showAll="0">
      <items count="4">
        <item x="2"/>
        <item x="0"/>
        <item x="1"/>
        <item t="default"/>
      </items>
    </pivotField>
    <pivotField numFmtId="164" showAll="0"/>
    <pivotField numFmtId="164" showAll="0"/>
    <pivotField numFmtId="164" showAll="0"/>
    <pivotField showAll="0"/>
    <pivotField showAll="0"/>
  </pivotFields>
  <rowFields count="1">
    <field x="1"/>
  </rowFields>
  <rowItems count="4">
    <i>
      <x/>
    </i>
    <i>
      <x v="1"/>
    </i>
    <i>
      <x v="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3.xml><?xml version="1.0" encoding="utf-8"?>
<pivotTableDefinition xmlns="http://schemas.openxmlformats.org/spreadsheetml/2006/main" xmlns:mc="http://schemas.openxmlformats.org/markup-compatibility/2006" xmlns:xr="http://schemas.microsoft.com/office/spreadsheetml/2014/revision" mc:Ignorable="xr" xr:uid="{4A41833A-631D-47C3-BBEB-58C175F92901}" name="LN_SHRPVT4" cacheId="16" applyNumberFormats="0" applyBorderFormats="0" applyFontFormats="0" applyPatternFormats="0" applyAlignmentFormats="0" applyWidthHeightFormats="1" dataCaption="Values" updatedVersion="8" minRefreshableVersion="3" useAutoFormatting="1" rowGrandTotals="0" itemPrintTitles="1" createdVersion="5" indent="0" showHeaders="0" outline="1" outlineData="1" multipleFieldFilters="0">
  <location ref="CA35:CA40" firstHeaderRow="0" firstDataRow="0" firstDataCol="1"/>
  <pivotFields count="7">
    <pivotField axis="axisRow" showAll="0">
      <items count="7">
        <item x="0"/>
        <item x="1"/>
        <item x="2"/>
        <item x="3"/>
        <item x="4"/>
        <item x="5"/>
        <item t="default"/>
      </items>
    </pivotField>
    <pivotField showAll="0"/>
    <pivotField numFmtId="3" showAll="0"/>
    <pivotField numFmtId="3" showAll="0"/>
    <pivotField numFmtId="3" showAll="0"/>
    <pivotField showAll="0"/>
    <pivotField showAll="0"/>
  </pivotFields>
  <rowFields count="1">
    <field x="0"/>
  </rowFields>
  <rowItems count="6">
    <i>
      <x/>
    </i>
    <i>
      <x v="1"/>
    </i>
    <i>
      <x v="2"/>
    </i>
    <i>
      <x v="3"/>
    </i>
    <i>
      <x v="4"/>
    </i>
    <i>
      <x v="5"/>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4.xml><?xml version="1.0" encoding="utf-8"?>
<pivotTableDefinition xmlns="http://schemas.openxmlformats.org/spreadsheetml/2006/main" xmlns:mc="http://schemas.openxmlformats.org/markup-compatibility/2006" xmlns:xr="http://schemas.microsoft.com/office/spreadsheetml/2014/revision" mc:Ignorable="xr" xr:uid="{E436ECCB-3E1C-4D8A-A132-320DCCD02755}" name="LN_HTIMPPVT1" cacheId="18"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Y35:Z57" firstHeaderRow="1" firstDataRow="1" firstDataCol="1"/>
  <pivotFields count="7">
    <pivotField axis="axisRow" showAll="0">
      <items count="7">
        <item x="0"/>
        <item x="1"/>
        <item x="2"/>
        <item x="3"/>
        <item x="4"/>
        <item x="5"/>
        <item t="default"/>
      </items>
    </pivotField>
    <pivotField axis="axisRow" showAll="0">
      <items count="4">
        <item x="2"/>
        <item x="0"/>
        <item x="1"/>
        <item t="default"/>
      </items>
    </pivotField>
    <pivotField numFmtId="3" showAll="0"/>
    <pivotField numFmtId="3" showAll="0"/>
    <pivotField dataField="1" numFmtId="3" showAll="0"/>
    <pivotField showAll="0"/>
    <pivotField showAll="0"/>
  </pivotFields>
  <rowFields count="2">
    <field x="1"/>
    <field x="0"/>
  </rowFields>
  <rowItems count="22">
    <i>
      <x/>
    </i>
    <i r="1">
      <x/>
    </i>
    <i r="1">
      <x v="1"/>
    </i>
    <i r="1">
      <x v="2"/>
    </i>
    <i r="1">
      <x v="3"/>
    </i>
    <i r="1">
      <x v="4"/>
    </i>
    <i r="1">
      <x v="5"/>
    </i>
    <i>
      <x v="1"/>
    </i>
    <i r="1">
      <x/>
    </i>
    <i r="1">
      <x v="1"/>
    </i>
    <i r="1">
      <x v="2"/>
    </i>
    <i r="1">
      <x v="3"/>
    </i>
    <i r="1">
      <x v="4"/>
    </i>
    <i r="1">
      <x v="5"/>
    </i>
    <i>
      <x v="2"/>
    </i>
    <i r="1">
      <x/>
    </i>
    <i r="1">
      <x v="1"/>
    </i>
    <i r="1">
      <x v="2"/>
    </i>
    <i r="1">
      <x v="3"/>
    </i>
    <i r="1">
      <x v="4"/>
    </i>
    <i r="1">
      <x v="5"/>
    </i>
    <i t="grand">
      <x/>
    </i>
  </rowItems>
  <colItems count="1">
    <i/>
  </colItems>
  <dataFields count="1">
    <dataField name="H/P IMP"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5.xml><?xml version="1.0" encoding="utf-8"?>
<pivotTableDefinition xmlns="http://schemas.openxmlformats.org/spreadsheetml/2006/main" xmlns:mc="http://schemas.openxmlformats.org/markup-compatibility/2006" xmlns:xr="http://schemas.microsoft.com/office/spreadsheetml/2014/revision" mc:Ignorable="xr" xr:uid="{D81673C9-4C3E-45BE-AE20-56DBB2C355B0}" name="LN_SHRPVT3" cacheId="16"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L60:L64" firstHeaderRow="1" firstDataRow="1" firstDataCol="1"/>
  <pivotFields count="7">
    <pivotField showAll="0"/>
    <pivotField axis="axisRow" showAll="0">
      <items count="4">
        <item x="2"/>
        <item x="0"/>
        <item x="1"/>
        <item t="default"/>
      </items>
    </pivotField>
    <pivotField numFmtId="3" showAll="0"/>
    <pivotField numFmtId="3" showAll="0"/>
    <pivotField numFmtId="3" showAll="0"/>
    <pivotField showAll="0"/>
    <pivotField showAll="0"/>
  </pivotFields>
  <rowFields count="1">
    <field x="1"/>
  </rowFields>
  <rowItems count="4">
    <i>
      <x/>
    </i>
    <i>
      <x v="1"/>
    </i>
    <i>
      <x v="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6.xml><?xml version="1.0" encoding="utf-8"?>
<pivotTableDefinition xmlns="http://schemas.openxmlformats.org/spreadsheetml/2006/main" xmlns:mc="http://schemas.openxmlformats.org/markup-compatibility/2006" xmlns:xr="http://schemas.microsoft.com/office/spreadsheetml/2014/revision" mc:Ignorable="xr" xr:uid="{E95C2134-AE31-40E8-8262-5E7CBB14B8DC}" name="LN_IMPPVT4" cacheId="17" applyNumberFormats="0" applyBorderFormats="0" applyFontFormats="0" applyPatternFormats="0" applyAlignmentFormats="0" applyWidthHeightFormats="1" dataCaption="Values" updatedVersion="8" minRefreshableVersion="3" useAutoFormatting="1" rowGrandTotals="0" itemPrintTitles="1" createdVersion="5" indent="0" showHeaders="0" outline="1" outlineData="1" multipleFieldFilters="0">
  <location ref="CG35:CG40" firstHeaderRow="0" firstDataRow="0" firstDataCol="1"/>
  <pivotFields count="7">
    <pivotField axis="axisRow" showAll="0">
      <items count="7">
        <item x="0"/>
        <item x="1"/>
        <item x="2"/>
        <item x="3"/>
        <item x="4"/>
        <item x="5"/>
        <item t="default"/>
      </items>
    </pivotField>
    <pivotField showAll="0"/>
    <pivotField numFmtId="3" showAll="0"/>
    <pivotField numFmtId="3" showAll="0"/>
    <pivotField numFmtId="3" showAll="0"/>
    <pivotField showAll="0"/>
    <pivotField showAll="0"/>
  </pivotFields>
  <rowFields count="1">
    <field x="0"/>
  </rowFields>
  <rowItems count="6">
    <i>
      <x/>
    </i>
    <i>
      <x v="1"/>
    </i>
    <i>
      <x v="2"/>
    </i>
    <i>
      <x v="3"/>
    </i>
    <i>
      <x v="4"/>
    </i>
    <i>
      <x v="5"/>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7.xml><?xml version="1.0" encoding="utf-8"?>
<pivotTableDefinition xmlns="http://schemas.openxmlformats.org/spreadsheetml/2006/main" xmlns:mc="http://schemas.openxmlformats.org/markup-compatibility/2006" xmlns:xr="http://schemas.microsoft.com/office/spreadsheetml/2014/revision" mc:Ignorable="xr" xr:uid="{A76AFCFD-A5C8-476D-A47A-EE578D9DAD7B}" name="LN_HTPCTPVT1" cacheId="19"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AG35:AH57" firstHeaderRow="1" firstDataRow="1" firstDataCol="1"/>
  <pivotFields count="7">
    <pivotField axis="axisRow" showAll="0">
      <items count="7">
        <item x="0"/>
        <item x="1"/>
        <item x="2"/>
        <item x="3"/>
        <item x="4"/>
        <item x="5"/>
        <item t="default"/>
      </items>
    </pivotField>
    <pivotField axis="axisRow" showAll="0">
      <items count="4">
        <item x="2"/>
        <item x="0"/>
        <item x="1"/>
        <item t="default"/>
      </items>
    </pivotField>
    <pivotField numFmtId="164" showAll="0"/>
    <pivotField numFmtId="164" showAll="0"/>
    <pivotField dataField="1" numFmtId="164" showAll="0"/>
    <pivotField showAll="0"/>
    <pivotField showAll="0"/>
  </pivotFields>
  <rowFields count="2">
    <field x="1"/>
    <field x="0"/>
  </rowFields>
  <rowItems count="22">
    <i>
      <x/>
    </i>
    <i r="1">
      <x/>
    </i>
    <i r="1">
      <x v="1"/>
    </i>
    <i r="1">
      <x v="2"/>
    </i>
    <i r="1">
      <x v="3"/>
    </i>
    <i r="1">
      <x v="4"/>
    </i>
    <i r="1">
      <x v="5"/>
    </i>
    <i>
      <x v="1"/>
    </i>
    <i r="1">
      <x/>
    </i>
    <i r="1">
      <x v="1"/>
    </i>
    <i r="1">
      <x v="2"/>
    </i>
    <i r="1">
      <x v="3"/>
    </i>
    <i r="1">
      <x v="4"/>
    </i>
    <i r="1">
      <x v="5"/>
    </i>
    <i>
      <x v="2"/>
    </i>
    <i r="1">
      <x/>
    </i>
    <i r="1">
      <x v="1"/>
    </i>
    <i r="1">
      <x v="2"/>
    </i>
    <i r="1">
      <x v="3"/>
    </i>
    <i r="1">
      <x v="4"/>
    </i>
    <i r="1">
      <x v="5"/>
    </i>
    <i t="grand">
      <x/>
    </i>
  </rowItems>
  <colItems count="1">
    <i/>
  </colItems>
  <dataFields count="1">
    <dataField name="H/P %" fld="4"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8.xml><?xml version="1.0" encoding="utf-8"?>
<pivotTableDefinition xmlns="http://schemas.openxmlformats.org/spreadsheetml/2006/main" xmlns:mc="http://schemas.openxmlformats.org/markup-compatibility/2006" xmlns:xr="http://schemas.microsoft.com/office/spreadsheetml/2014/revision" mc:Ignorable="xr" xr:uid="{B8F2D094-1346-46F7-A043-563029753AE9}" name="LN_RTGPVT2" cacheId="15"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4">
  <location ref="D35:G57" firstHeaderRow="0" firstDataRow="1" firstDataCol="1"/>
  <pivotFields count="7">
    <pivotField axis="axisRow" showAll="0">
      <items count="7">
        <item x="0"/>
        <item x="1"/>
        <item x="2"/>
        <item x="3"/>
        <item x="4"/>
        <item x="5"/>
        <item t="default"/>
      </items>
    </pivotField>
    <pivotField axis="axisRow" showAll="0">
      <items count="4">
        <item x="2"/>
        <item x="0"/>
        <item x="1"/>
        <item t="default"/>
      </items>
    </pivotField>
    <pivotField dataField="1" numFmtId="164" showAll="0"/>
    <pivotField dataField="1" numFmtId="164" showAll="0"/>
    <pivotField dataField="1" numFmtId="164" showAll="0"/>
    <pivotField showAll="0"/>
    <pivotField showAll="0"/>
  </pivotFields>
  <rowFields count="2">
    <field x="1"/>
    <field x="0"/>
  </rowFields>
  <rowItems count="22">
    <i>
      <x/>
    </i>
    <i r="1">
      <x/>
    </i>
    <i r="1">
      <x v="1"/>
    </i>
    <i r="1">
      <x v="2"/>
    </i>
    <i r="1">
      <x v="3"/>
    </i>
    <i r="1">
      <x v="4"/>
    </i>
    <i r="1">
      <x v="5"/>
    </i>
    <i>
      <x v="1"/>
    </i>
    <i r="1">
      <x/>
    </i>
    <i r="1">
      <x v="1"/>
    </i>
    <i r="1">
      <x v="2"/>
    </i>
    <i r="1">
      <x v="3"/>
    </i>
    <i r="1">
      <x v="4"/>
    </i>
    <i r="1">
      <x v="5"/>
    </i>
    <i>
      <x v="2"/>
    </i>
    <i r="1">
      <x/>
    </i>
    <i r="1">
      <x v="1"/>
    </i>
    <i r="1">
      <x v="2"/>
    </i>
    <i r="1">
      <x v="3"/>
    </i>
    <i r="1">
      <x v="4"/>
    </i>
    <i r="1">
      <x v="5"/>
    </i>
    <i t="grand">
      <x/>
    </i>
  </rowItems>
  <colFields count="1">
    <field x="-2"/>
  </colFields>
  <colItems count="3">
    <i>
      <x/>
    </i>
    <i i="1">
      <x v="1"/>
    </i>
    <i i="2">
      <x v="2"/>
    </i>
  </colItems>
  <dataFields count="3">
    <dataField name="Last Year" fld="2" baseField="0" baseItem="0" numFmtId="2"/>
    <dataField name="Last Month" fld="3" baseField="0" baseItem="0" numFmtId="2"/>
    <dataField name="Current" fld="4"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9.xml><?xml version="1.0" encoding="utf-8"?>
<pivotTableDefinition xmlns="http://schemas.openxmlformats.org/spreadsheetml/2006/main" xmlns:mc="http://schemas.openxmlformats.org/markup-compatibility/2006" xmlns:xr="http://schemas.microsoft.com/office/spreadsheetml/2014/revision" mc:Ignorable="xr" xr:uid="{01CF88BF-A870-4BC6-AC86-CA332FB7157C}" name="LN_IMPPVT3" cacheId="17"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T60:T64" firstHeaderRow="1" firstDataRow="1" firstDataCol="1"/>
  <pivotFields count="7">
    <pivotField showAll="0"/>
    <pivotField axis="axisRow" showAll="0">
      <items count="4">
        <item x="2"/>
        <item x="0"/>
        <item x="1"/>
        <item t="default"/>
      </items>
    </pivotField>
    <pivotField numFmtId="3" showAll="0"/>
    <pivotField numFmtId="3" showAll="0"/>
    <pivotField numFmtId="3" showAll="0"/>
    <pivotField showAll="0"/>
    <pivotField showAll="0"/>
  </pivotFields>
  <rowFields count="1">
    <field x="1"/>
  </rowFields>
  <rowItems count="4">
    <i>
      <x/>
    </i>
    <i>
      <x v="1"/>
    </i>
    <i>
      <x v="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0.xml><?xml version="1.0" encoding="utf-8"?>
<pivotTableDefinition xmlns="http://schemas.openxmlformats.org/spreadsheetml/2006/main" xmlns:mc="http://schemas.openxmlformats.org/markup-compatibility/2006" xmlns:xr="http://schemas.microsoft.com/office/spreadsheetml/2014/revision" mc:Ignorable="xr" xr:uid="{9D9D7EFB-EABC-4B9C-94EC-B94DEE9214D7}" name="LN_SHRPVT2" cacheId="16"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1">
  <location ref="L35:O57" firstHeaderRow="0" firstDataRow="1" firstDataCol="1"/>
  <pivotFields count="7">
    <pivotField axis="axisRow" showAll="0">
      <items count="7">
        <item x="0"/>
        <item x="1"/>
        <item x="2"/>
        <item x="3"/>
        <item x="4"/>
        <item x="5"/>
        <item t="default"/>
      </items>
    </pivotField>
    <pivotField axis="axisRow" showAll="0">
      <items count="4">
        <item x="2"/>
        <item x="0"/>
        <item x="1"/>
        <item t="default"/>
      </items>
    </pivotField>
    <pivotField dataField="1" numFmtId="3" showAll="0"/>
    <pivotField dataField="1" numFmtId="3" showAll="0"/>
    <pivotField dataField="1" numFmtId="3" showAll="0"/>
    <pivotField showAll="0"/>
    <pivotField showAll="0"/>
  </pivotFields>
  <rowFields count="2">
    <field x="1"/>
    <field x="0"/>
  </rowFields>
  <rowItems count="22">
    <i>
      <x/>
    </i>
    <i r="1">
      <x/>
    </i>
    <i r="1">
      <x v="1"/>
    </i>
    <i r="1">
      <x v="2"/>
    </i>
    <i r="1">
      <x v="3"/>
    </i>
    <i r="1">
      <x v="4"/>
    </i>
    <i r="1">
      <x v="5"/>
    </i>
    <i>
      <x v="1"/>
    </i>
    <i r="1">
      <x/>
    </i>
    <i r="1">
      <x v="1"/>
    </i>
    <i r="1">
      <x v="2"/>
    </i>
    <i r="1">
      <x v="3"/>
    </i>
    <i r="1">
      <x v="4"/>
    </i>
    <i r="1">
      <x v="5"/>
    </i>
    <i>
      <x v="2"/>
    </i>
    <i r="1">
      <x/>
    </i>
    <i r="1">
      <x v="1"/>
    </i>
    <i r="1">
      <x v="2"/>
    </i>
    <i r="1">
      <x v="3"/>
    </i>
    <i r="1">
      <x v="4"/>
    </i>
    <i r="1">
      <x v="5"/>
    </i>
    <i t="grand">
      <x/>
    </i>
  </rowItems>
  <colFields count="1">
    <field x="-2"/>
  </colFields>
  <colItems count="3">
    <i>
      <x/>
    </i>
    <i i="1">
      <x v="1"/>
    </i>
    <i i="2">
      <x v="2"/>
    </i>
  </colItems>
  <dataFields count="3">
    <dataField name="Last Year" fld="2" baseField="0" baseItem="0" numFmtId="2"/>
    <dataField name="Last Month" fld="3" baseField="0" baseItem="0" numFmtId="2"/>
    <dataField name="Current" fld="4"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1.xml><?xml version="1.0" encoding="utf-8"?>
<pivotTableDefinition xmlns="http://schemas.openxmlformats.org/spreadsheetml/2006/main" xmlns:mc="http://schemas.openxmlformats.org/markup-compatibility/2006" xmlns:xr="http://schemas.microsoft.com/office/spreadsheetml/2014/revision" mc:Ignorable="xr" xr:uid="{2B994B1C-0C46-4FB8-8383-A549462ED864}" name="LN_HTIMPPVT4" cacheId="18" applyNumberFormats="0" applyBorderFormats="0" applyFontFormats="0" applyPatternFormats="0" applyAlignmentFormats="0" applyWidthHeightFormats="1" dataCaption="Values" updatedVersion="8" minRefreshableVersion="3" useAutoFormatting="1" rowGrandTotals="0" itemPrintTitles="1" createdVersion="5" indent="0" showHeaders="0" outline="1" outlineData="1" multipleFieldFilters="0">
  <location ref="CM35:CM40" firstHeaderRow="0" firstDataRow="0" firstDataCol="1"/>
  <pivotFields count="7">
    <pivotField axis="axisRow" showAll="0">
      <items count="7">
        <item x="0"/>
        <item x="1"/>
        <item x="2"/>
        <item x="3"/>
        <item x="4"/>
        <item x="5"/>
        <item t="default"/>
      </items>
    </pivotField>
    <pivotField showAll="0"/>
    <pivotField numFmtId="3" showAll="0"/>
    <pivotField numFmtId="3" showAll="0"/>
    <pivotField numFmtId="3" showAll="0"/>
    <pivotField showAll="0"/>
    <pivotField showAll="0"/>
  </pivotFields>
  <rowFields count="1">
    <field x="0"/>
  </rowFields>
  <rowItems count="6">
    <i>
      <x/>
    </i>
    <i>
      <x v="1"/>
    </i>
    <i>
      <x v="2"/>
    </i>
    <i>
      <x v="3"/>
    </i>
    <i>
      <x v="4"/>
    </i>
    <i>
      <x v="5"/>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2.xml><?xml version="1.0" encoding="utf-8"?>
<pivotTableDefinition xmlns="http://schemas.openxmlformats.org/spreadsheetml/2006/main" xmlns:mc="http://schemas.openxmlformats.org/markup-compatibility/2006" xmlns:xr="http://schemas.microsoft.com/office/spreadsheetml/2014/revision" mc:Ignorable="xr" xr:uid="{F66C6912-A5C4-420F-9A64-9939A2827483}" name="LN_IMPPVT2" cacheId="17"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1">
  <location ref="T35:W57" firstHeaderRow="0" firstDataRow="1" firstDataCol="1"/>
  <pivotFields count="7">
    <pivotField axis="axisRow" showAll="0">
      <items count="7">
        <item x="0"/>
        <item x="1"/>
        <item x="2"/>
        <item x="3"/>
        <item x="4"/>
        <item x="5"/>
        <item t="default"/>
      </items>
    </pivotField>
    <pivotField axis="axisRow" showAll="0">
      <items count="4">
        <item x="2"/>
        <item x="0"/>
        <item x="1"/>
        <item t="default"/>
      </items>
    </pivotField>
    <pivotField dataField="1" numFmtId="3" showAll="0"/>
    <pivotField dataField="1" numFmtId="3" showAll="0"/>
    <pivotField dataField="1" numFmtId="3" showAll="0"/>
    <pivotField showAll="0"/>
    <pivotField showAll="0"/>
  </pivotFields>
  <rowFields count="2">
    <field x="1"/>
    <field x="0"/>
  </rowFields>
  <rowItems count="22">
    <i>
      <x/>
    </i>
    <i r="1">
      <x/>
    </i>
    <i r="1">
      <x v="1"/>
    </i>
    <i r="1">
      <x v="2"/>
    </i>
    <i r="1">
      <x v="3"/>
    </i>
    <i r="1">
      <x v="4"/>
    </i>
    <i r="1">
      <x v="5"/>
    </i>
    <i>
      <x v="1"/>
    </i>
    <i r="1">
      <x/>
    </i>
    <i r="1">
      <x v="1"/>
    </i>
    <i r="1">
      <x v="2"/>
    </i>
    <i r="1">
      <x v="3"/>
    </i>
    <i r="1">
      <x v="4"/>
    </i>
    <i r="1">
      <x v="5"/>
    </i>
    <i>
      <x v="2"/>
    </i>
    <i r="1">
      <x/>
    </i>
    <i r="1">
      <x v="1"/>
    </i>
    <i r="1">
      <x v="2"/>
    </i>
    <i r="1">
      <x v="3"/>
    </i>
    <i r="1">
      <x v="4"/>
    </i>
    <i r="1">
      <x v="5"/>
    </i>
    <i t="grand">
      <x/>
    </i>
  </rowItems>
  <colFields count="1">
    <field x="-2"/>
  </colFields>
  <colItems count="3">
    <i>
      <x/>
    </i>
    <i i="1">
      <x v="1"/>
    </i>
    <i i="2">
      <x v="2"/>
    </i>
  </colItems>
  <dataFields count="3">
    <dataField name="Last Year" fld="2" baseField="0" baseItem="0"/>
    <dataField name="Last Month" fld="3" baseField="0" baseItem="0"/>
    <dataField name="Curren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3.xml><?xml version="1.0" encoding="utf-8"?>
<pivotTableDefinition xmlns="http://schemas.openxmlformats.org/spreadsheetml/2006/main" xmlns:mc="http://schemas.openxmlformats.org/markup-compatibility/2006" xmlns:xr="http://schemas.microsoft.com/office/spreadsheetml/2014/revision" mc:Ignorable="xr" xr:uid="{1FF8A2D6-D9AC-40B2-A97D-2AA75ECFA95A}" name="LN_HTIMPPVT3" cacheId="18"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AB60:AB64" firstHeaderRow="1" firstDataRow="1" firstDataCol="1"/>
  <pivotFields count="7">
    <pivotField showAll="0"/>
    <pivotField axis="axisRow" showAll="0">
      <items count="4">
        <item x="2"/>
        <item x="0"/>
        <item x="1"/>
        <item t="default"/>
      </items>
    </pivotField>
    <pivotField numFmtId="3" showAll="0"/>
    <pivotField numFmtId="3" showAll="0"/>
    <pivotField numFmtId="3" showAll="0"/>
    <pivotField showAll="0"/>
    <pivotField showAll="0"/>
  </pivotFields>
  <rowFields count="1">
    <field x="1"/>
  </rowFields>
  <rowItems count="4">
    <i>
      <x/>
    </i>
    <i>
      <x v="1"/>
    </i>
    <i>
      <x v="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4.xml><?xml version="1.0" encoding="utf-8"?>
<pivotTableDefinition xmlns="http://schemas.openxmlformats.org/spreadsheetml/2006/main" xmlns:mc="http://schemas.openxmlformats.org/markup-compatibility/2006" xmlns:xr="http://schemas.microsoft.com/office/spreadsheetml/2014/revision" mc:Ignorable="xr" xr:uid="{B07BC2C9-EB1C-40A8-A023-E81CE8AD0542}" name="LN_HTPCTPVT4" cacheId="19" applyNumberFormats="0" applyBorderFormats="0" applyFontFormats="0" applyPatternFormats="0" applyAlignmentFormats="0" applyWidthHeightFormats="1" dataCaption="Values" updatedVersion="8" minRefreshableVersion="3" useAutoFormatting="1" rowGrandTotals="0" itemPrintTitles="1" createdVersion="5" indent="0" showHeaders="0" outline="1" outlineData="1" multipleFieldFilters="0">
  <location ref="CS35:CS40" firstHeaderRow="0" firstDataRow="0" firstDataCol="1"/>
  <pivotFields count="7">
    <pivotField axis="axisRow" showAll="0">
      <items count="7">
        <item x="0"/>
        <item x="1"/>
        <item x="2"/>
        <item x="3"/>
        <item x="4"/>
        <item x="5"/>
        <item t="default"/>
      </items>
    </pivotField>
    <pivotField showAll="0"/>
    <pivotField numFmtId="164" showAll="0"/>
    <pivotField numFmtId="164" showAll="0"/>
    <pivotField numFmtId="164" showAll="0"/>
    <pivotField showAll="0"/>
    <pivotField showAll="0"/>
  </pivotFields>
  <rowFields count="1">
    <field x="0"/>
  </rowFields>
  <rowItems count="6">
    <i>
      <x/>
    </i>
    <i>
      <x v="1"/>
    </i>
    <i>
      <x v="2"/>
    </i>
    <i>
      <x v="3"/>
    </i>
    <i>
      <x v="4"/>
    </i>
    <i>
      <x v="5"/>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5.xml><?xml version="1.0" encoding="utf-8"?>
<pivotTableDefinition xmlns="http://schemas.openxmlformats.org/spreadsheetml/2006/main" xmlns:mc="http://schemas.openxmlformats.org/markup-compatibility/2006" xmlns:xr="http://schemas.microsoft.com/office/spreadsheetml/2014/revision" mc:Ignorable="xr" xr:uid="{EF47715B-C5CD-4DD4-A7E0-0C142BC1FB59}" name="LN_RTGPVT1" cacheId="15"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4">
  <location ref="A35:B57" firstHeaderRow="1" firstDataRow="1" firstDataCol="1"/>
  <pivotFields count="7">
    <pivotField axis="axisRow" showAll="0" sortType="ascending">
      <items count="7">
        <item x="0"/>
        <item x="1"/>
        <item x="2"/>
        <item x="3"/>
        <item x="4"/>
        <item x="5"/>
        <item t="default"/>
      </items>
      <autoSortScope>
        <pivotArea dataOnly="0" outline="0" fieldPosition="0">
          <references count="1">
            <reference field="4294967294" count="1" selected="0">
              <x v="0"/>
            </reference>
          </references>
        </pivotArea>
      </autoSortScope>
    </pivotField>
    <pivotField axis="axisRow" showAll="0">
      <items count="4">
        <item x="2"/>
        <item x="0"/>
        <item x="1"/>
        <item t="default"/>
      </items>
    </pivotField>
    <pivotField numFmtId="164" showAll="0"/>
    <pivotField numFmtId="164" showAll="0"/>
    <pivotField dataField="1" numFmtId="164" showAll="0"/>
    <pivotField showAll="0"/>
    <pivotField showAll="0"/>
  </pivotFields>
  <rowFields count="2">
    <field x="1"/>
    <field x="0"/>
  </rowFields>
  <rowItems count="22">
    <i>
      <x/>
    </i>
    <i r="1">
      <x v="4"/>
    </i>
    <i r="1">
      <x v="2"/>
    </i>
    <i r="1">
      <x v="3"/>
    </i>
    <i r="1">
      <x v="5"/>
    </i>
    <i r="1">
      <x/>
    </i>
    <i r="1">
      <x v="1"/>
    </i>
    <i>
      <x v="1"/>
    </i>
    <i r="1">
      <x v="4"/>
    </i>
    <i r="1">
      <x v="2"/>
    </i>
    <i r="1">
      <x v="3"/>
    </i>
    <i r="1">
      <x v="5"/>
    </i>
    <i r="1">
      <x/>
    </i>
    <i r="1">
      <x v="1"/>
    </i>
    <i>
      <x v="2"/>
    </i>
    <i r="1">
      <x v="2"/>
    </i>
    <i r="1">
      <x v="4"/>
    </i>
    <i r="1">
      <x v="5"/>
    </i>
    <i r="1">
      <x v="3"/>
    </i>
    <i r="1">
      <x/>
    </i>
    <i r="1">
      <x v="1"/>
    </i>
    <i t="grand">
      <x/>
    </i>
  </rowItems>
  <colItems count="1">
    <i/>
  </colItems>
  <dataFields count="1">
    <dataField name="RTG %" fld="4"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6.xml><?xml version="1.0" encoding="utf-8"?>
<pivotTableDefinition xmlns="http://schemas.openxmlformats.org/spreadsheetml/2006/main" xmlns:mc="http://schemas.openxmlformats.org/markup-compatibility/2006" xmlns:xr="http://schemas.microsoft.com/office/spreadsheetml/2014/revision" mc:Ignorable="xr" xr:uid="{671B0EDA-C541-4D2B-A406-B058190BD1FD}" name="LN_SHRPVT1" cacheId="16"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1">
  <location ref="I35:J57" firstHeaderRow="1" firstDataRow="1" firstDataCol="1"/>
  <pivotFields count="7">
    <pivotField axis="axisRow" showAll="0" sortType="ascending">
      <items count="7">
        <item x="0"/>
        <item x="1"/>
        <item x="2"/>
        <item x="3"/>
        <item x="4"/>
        <item x="5"/>
        <item t="default"/>
      </items>
      <autoSortScope>
        <pivotArea dataOnly="0" outline="0" fieldPosition="0">
          <references count="1">
            <reference field="4294967294" count="1" selected="0">
              <x v="0"/>
            </reference>
          </references>
        </pivotArea>
      </autoSortScope>
    </pivotField>
    <pivotField axis="axisRow" showAll="0">
      <items count="4">
        <item x="2"/>
        <item x="0"/>
        <item x="1"/>
        <item t="default"/>
      </items>
    </pivotField>
    <pivotField numFmtId="3" showAll="0"/>
    <pivotField numFmtId="3" showAll="0"/>
    <pivotField dataField="1" numFmtId="3" showAll="0"/>
    <pivotField showAll="0"/>
    <pivotField showAll="0"/>
  </pivotFields>
  <rowFields count="2">
    <field x="1"/>
    <field x="0"/>
  </rowFields>
  <rowItems count="22">
    <i>
      <x/>
    </i>
    <i r="1">
      <x v="4"/>
    </i>
    <i r="1">
      <x v="3"/>
    </i>
    <i r="1">
      <x v="5"/>
    </i>
    <i r="1">
      <x/>
    </i>
    <i r="1">
      <x v="1"/>
    </i>
    <i r="1">
      <x v="2"/>
    </i>
    <i>
      <x v="1"/>
    </i>
    <i r="1">
      <x v="4"/>
    </i>
    <i r="1">
      <x v="5"/>
    </i>
    <i r="1">
      <x v="3"/>
    </i>
    <i r="1">
      <x/>
    </i>
    <i r="1">
      <x v="2"/>
    </i>
    <i r="1">
      <x v="1"/>
    </i>
    <i>
      <x v="2"/>
    </i>
    <i r="1">
      <x v="4"/>
    </i>
    <i r="1">
      <x v="5"/>
    </i>
    <i r="1">
      <x v="3"/>
    </i>
    <i r="1">
      <x/>
    </i>
    <i r="1">
      <x v="2"/>
    </i>
    <i r="1">
      <x v="1"/>
    </i>
    <i t="grand">
      <x/>
    </i>
  </rowItems>
  <colItems count="1">
    <i/>
  </colItems>
  <dataFields count="1">
    <dataField name="SHR %" fld="4"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7.xml><?xml version="1.0" encoding="utf-8"?>
<pivotTableDefinition xmlns="http://schemas.openxmlformats.org/spreadsheetml/2006/main" xmlns:mc="http://schemas.openxmlformats.org/markup-compatibility/2006" xmlns:xr="http://schemas.microsoft.com/office/spreadsheetml/2014/revision" mc:Ignorable="xr" xr:uid="{22EEADB3-B476-474B-9A8A-C8C9E9483A97}" name="LN_HTPCTPVT3" cacheId="19"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AJ60:AJ64" firstHeaderRow="1" firstDataRow="1" firstDataCol="1"/>
  <pivotFields count="7">
    <pivotField showAll="0"/>
    <pivotField axis="axisRow" showAll="0">
      <items count="4">
        <item x="2"/>
        <item x="0"/>
        <item x="1"/>
        <item t="default"/>
      </items>
    </pivotField>
    <pivotField numFmtId="164" showAll="0"/>
    <pivotField numFmtId="164" showAll="0"/>
    <pivotField numFmtId="164" showAll="0"/>
    <pivotField showAll="0"/>
    <pivotField showAll="0"/>
  </pivotFields>
  <rowFields count="1">
    <field x="1"/>
  </rowFields>
  <rowItems count="4">
    <i>
      <x/>
    </i>
    <i>
      <x v="1"/>
    </i>
    <i>
      <x v="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8.xml><?xml version="1.0" encoding="utf-8"?>
<pivotTableDefinition xmlns="http://schemas.openxmlformats.org/spreadsheetml/2006/main" xmlns:mc="http://schemas.openxmlformats.org/markup-compatibility/2006" xmlns:xr="http://schemas.microsoft.com/office/spreadsheetml/2014/revision" mc:Ignorable="xr" xr:uid="{87496D1D-13EF-4557-B85E-4EE05C4E9CA4}" name="LN_RTGPVT4" cacheId="15" applyNumberFormats="0" applyBorderFormats="0" applyFontFormats="0" applyPatternFormats="0" applyAlignmentFormats="0" applyWidthHeightFormats="1" dataCaption="Values" updatedVersion="8" minRefreshableVersion="3" useAutoFormatting="1" rowGrandTotals="0" itemPrintTitles="1" createdVersion="5" indent="0" showHeaders="0" outline="1" outlineData="1" multipleFieldFilters="0">
  <location ref="BU35:BU40" firstHeaderRow="0" firstDataRow="0" firstDataCol="1"/>
  <pivotFields count="7">
    <pivotField axis="axisRow" showAll="0">
      <items count="7">
        <item x="0"/>
        <item x="1"/>
        <item x="2"/>
        <item x="3"/>
        <item x="4"/>
        <item x="5"/>
        <item t="default"/>
      </items>
    </pivotField>
    <pivotField showAll="0"/>
    <pivotField numFmtId="164" showAll="0"/>
    <pivotField numFmtId="164" showAll="0"/>
    <pivotField numFmtId="164" showAll="0"/>
    <pivotField showAll="0"/>
    <pivotField showAll="0"/>
  </pivotFields>
  <rowFields count="1">
    <field x="0"/>
  </rowFields>
  <rowItems count="6">
    <i>
      <x/>
    </i>
    <i>
      <x v="1"/>
    </i>
    <i>
      <x v="2"/>
    </i>
    <i>
      <x v="3"/>
    </i>
    <i>
      <x v="4"/>
    </i>
    <i>
      <x v="5"/>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9.xml><?xml version="1.0" encoding="utf-8"?>
<pivotTableDefinition xmlns="http://schemas.openxmlformats.org/spreadsheetml/2006/main" xmlns:mc="http://schemas.openxmlformats.org/markup-compatibility/2006" xmlns:xr="http://schemas.microsoft.com/office/spreadsheetml/2014/revision" mc:Ignorable="xr" xr:uid="{31B433F4-8202-4A54-8C62-4F6EEBFD4EE9}" name="LN_IMPPVT1" cacheId="17"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1">
  <location ref="Q35:R57" firstHeaderRow="1" firstDataRow="1" firstDataCol="1"/>
  <pivotFields count="7">
    <pivotField axis="axisRow" showAll="0" sortType="ascending">
      <items count="7">
        <item x="0"/>
        <item x="1"/>
        <item x="2"/>
        <item x="3"/>
        <item x="4"/>
        <item x="5"/>
        <item t="default"/>
      </items>
      <autoSortScope>
        <pivotArea dataOnly="0" outline="0" fieldPosition="0">
          <references count="1">
            <reference field="4294967294" count="1" selected="0">
              <x v="0"/>
            </reference>
          </references>
        </pivotArea>
      </autoSortScope>
    </pivotField>
    <pivotField axis="axisRow" showAll="0">
      <items count="4">
        <item x="2"/>
        <item x="0"/>
        <item x="1"/>
        <item t="default"/>
      </items>
    </pivotField>
    <pivotField numFmtId="3" showAll="0"/>
    <pivotField numFmtId="3" showAll="0"/>
    <pivotField dataField="1" numFmtId="3" showAll="0"/>
    <pivotField showAll="0"/>
    <pivotField showAll="0"/>
  </pivotFields>
  <rowFields count="2">
    <field x="1"/>
    <field x="0"/>
  </rowFields>
  <rowItems count="22">
    <i>
      <x/>
    </i>
    <i r="1">
      <x v="4"/>
    </i>
    <i r="1">
      <x v="2"/>
    </i>
    <i r="1">
      <x v="3"/>
    </i>
    <i r="1">
      <x v="5"/>
    </i>
    <i r="1">
      <x/>
    </i>
    <i r="1">
      <x v="1"/>
    </i>
    <i>
      <x v="1"/>
    </i>
    <i r="1">
      <x v="4"/>
    </i>
    <i r="1">
      <x v="2"/>
    </i>
    <i r="1">
      <x v="3"/>
    </i>
    <i r="1">
      <x v="5"/>
    </i>
    <i r="1">
      <x/>
    </i>
    <i r="1">
      <x v="1"/>
    </i>
    <i>
      <x v="2"/>
    </i>
    <i r="1">
      <x v="2"/>
    </i>
    <i r="1">
      <x v="4"/>
    </i>
    <i r="1">
      <x v="5"/>
    </i>
    <i r="1">
      <x v="3"/>
    </i>
    <i r="1">
      <x/>
    </i>
    <i r="1">
      <x v="1"/>
    </i>
    <i t="grand">
      <x/>
    </i>
  </rowItems>
  <colItems count="1">
    <i/>
  </colItems>
  <dataFields count="1">
    <dataField name="IMP"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0.xml><?xml version="1.0" encoding="utf-8"?>
<pivotTableDefinition xmlns="http://schemas.openxmlformats.org/spreadsheetml/2006/main" xmlns:mc="http://schemas.openxmlformats.org/markup-compatibility/2006" xmlns:xr="http://schemas.microsoft.com/office/spreadsheetml/2014/revision" mc:Ignorable="xr" xr:uid="{D1971BB4-A2C3-445F-BD84-15E75478BF2D}" name="LN_HTIMPPVT2" cacheId="18"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AB35:AE57" firstHeaderRow="0" firstDataRow="1" firstDataCol="1"/>
  <pivotFields count="7">
    <pivotField axis="axisRow" showAll="0">
      <items count="7">
        <item x="0"/>
        <item x="1"/>
        <item x="2"/>
        <item x="3"/>
        <item x="4"/>
        <item x="5"/>
        <item t="default"/>
      </items>
    </pivotField>
    <pivotField axis="axisRow" showAll="0">
      <items count="4">
        <item x="2"/>
        <item x="0"/>
        <item x="1"/>
        <item t="default"/>
      </items>
    </pivotField>
    <pivotField dataField="1" numFmtId="3" showAll="0"/>
    <pivotField dataField="1" numFmtId="3" showAll="0"/>
    <pivotField dataField="1" numFmtId="3" showAll="0"/>
    <pivotField showAll="0"/>
    <pivotField showAll="0"/>
  </pivotFields>
  <rowFields count="2">
    <field x="1"/>
    <field x="0"/>
  </rowFields>
  <rowItems count="22">
    <i>
      <x/>
    </i>
    <i r="1">
      <x/>
    </i>
    <i r="1">
      <x v="1"/>
    </i>
    <i r="1">
      <x v="2"/>
    </i>
    <i r="1">
      <x v="3"/>
    </i>
    <i r="1">
      <x v="4"/>
    </i>
    <i r="1">
      <x v="5"/>
    </i>
    <i>
      <x v="1"/>
    </i>
    <i r="1">
      <x/>
    </i>
    <i r="1">
      <x v="1"/>
    </i>
    <i r="1">
      <x v="2"/>
    </i>
    <i r="1">
      <x v="3"/>
    </i>
    <i r="1">
      <x v="4"/>
    </i>
    <i r="1">
      <x v="5"/>
    </i>
    <i>
      <x v="2"/>
    </i>
    <i r="1">
      <x/>
    </i>
    <i r="1">
      <x v="1"/>
    </i>
    <i r="1">
      <x v="2"/>
    </i>
    <i r="1">
      <x v="3"/>
    </i>
    <i r="1">
      <x v="4"/>
    </i>
    <i r="1">
      <x v="5"/>
    </i>
    <i t="grand">
      <x/>
    </i>
  </rowItems>
  <colFields count="1">
    <field x="-2"/>
  </colFields>
  <colItems count="3">
    <i>
      <x/>
    </i>
    <i i="1">
      <x v="1"/>
    </i>
    <i i="2">
      <x v="2"/>
    </i>
  </colItems>
  <dataFields count="3">
    <dataField name="Last Year" fld="2" baseField="0" baseItem="0"/>
    <dataField name="Last Month" fld="3" baseField="0" baseItem="0"/>
    <dataField name="Curren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emoSlicerCache" xr10:uid="{30D93005-43B1-40C4-8CFB-296746CC49DC}" sourceName="DEMO">
  <pivotTables>
    <pivotTable tabId="3" name="Midd_RTGPVT1"/>
    <pivotTable tabId="3" name="Midd_RTGPVT2"/>
    <pivotTable tabId="3" name="Midd_RTGPVT3"/>
  </pivotTables>
  <data>
    <tabular pivotCacheId="1770477004">
      <items count="3">
        <i x="2"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tationSlicerCache" xr10:uid="{D4F60671-9474-40B3-8A49-3A8B4934CB6A}" sourceName="STATION">
  <pivotTables>
    <pivotTable tabId="3" name="Midd_RTGPVT1"/>
    <pivotTable tabId="3" name="Midd_RTGPVT2"/>
    <pivotTable tabId="3" name="Midd_RTGPVT4"/>
  </pivotTables>
  <data>
    <tabular pivotCacheId="1770477004">
      <items count="5">
        <i x="0" s="1"/>
        <i x="1" s="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moSlicer" xr10:uid="{B5A91CFC-41FD-4F0F-B71B-E1B42CA4A37B}" cache="DemoSlicerCache" caption="Choose Demo" rowHeight="241300"/>
  <slicer name="ProgramSlicer" xr10:uid="{564ECDB7-726F-40DC-AF3D-FB8AC572EE30}" cache="StationSlicerCache" caption="Choose Program"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3192932-2E99-4E87-9847-766D5DBB2390}" name="MN_RTG" displayName="MN_RTG" ref="A24:G72" totalsRowShown="0" dataDxfId="99">
  <tableColumns count="7">
    <tableColumn id="1" xr3:uid="{A7C8A785-D664-4BD8-9B93-8CB908E20109}" name="STATION" dataDxfId="98"/>
    <tableColumn id="2" xr3:uid="{C0EE2DD7-3EE9-43E2-8AC4-97226DA46560}" name="DEMO"/>
    <tableColumn id="3" xr3:uid="{77EE7675-5184-49F3-89B8-A6FECEA070DB}" name="Lst Yr" dataDxfId="97"/>
    <tableColumn id="4" xr3:uid="{52731B81-668E-4AF4-B265-A864A175C8D4}" name="Lst Mnth" dataDxfId="96"/>
    <tableColumn id="5" xr3:uid="{F865681F-CAAA-4709-9B44-A1B4CFF50081}" name="Currnt" dataDxfId="95"/>
    <tableColumn id="6" xr3:uid="{365C2551-B8A1-42A3-92C2-9559C556FE0E}" name="BTB">
      <calculatedColumnFormula>(E25-D25)/D25</calculatedColumnFormula>
    </tableColumn>
    <tableColumn id="7" xr3:uid="{120C418B-8222-4775-A06A-97B4E7118FD8}" name="YTY">
      <calculatedColumnFormula>(E25-C25)/C25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BAADFB5-DAA4-46DA-AE98-5D41497027E7}" name="MN_SHARE" displayName="MN_SHARE" ref="I24:O72" totalsRowShown="0" dataDxfId="94">
  <autoFilter ref="I24:O72" xr:uid="{BBAADFB5-DAA4-46DA-AE98-5D41497027E7}"/>
  <tableColumns count="7">
    <tableColumn id="1" xr3:uid="{A300F88C-2A57-4BED-99A9-B3DFA529F9EF}" name="STATION" dataDxfId="93"/>
    <tableColumn id="2" xr3:uid="{297C569A-8C04-45B6-9803-7D5007ECA2D8}" name="DEMO"/>
    <tableColumn id="3" xr3:uid="{67708168-3F78-422D-B0F9-18CEF4D22707}" name="Lst Yr" dataDxfId="92"/>
    <tableColumn id="4" xr3:uid="{12B09F83-3598-41E1-B26C-AB7BF96F7B6D}" name="Lst Mnth" dataDxfId="91"/>
    <tableColumn id="5" xr3:uid="{41B157BD-CBDE-4FF5-BCA8-14D199EEBD93}" name="Currnt" dataDxfId="90"/>
    <tableColumn id="6" xr3:uid="{997F4D0C-9F1E-4BAB-99DC-3B283788F98C}" name="BTB">
      <calculatedColumnFormula>(M25-L25)/L25</calculatedColumnFormula>
    </tableColumn>
    <tableColumn id="7" xr3:uid="{ABEAAE23-DD38-456A-A5EC-CEF8311684FB}" name="YTY">
      <calculatedColumnFormula>(M25-K25)/K25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567FF44-71EA-4A08-8C3B-6665063B1D46}" name="MN_IMP" displayName="MN_IMP" ref="Q24:W72" totalsRowShown="0" dataDxfId="89">
  <autoFilter ref="Q24:W72" xr:uid="{C567FF44-71EA-4A08-8C3B-6665063B1D46}"/>
  <tableColumns count="7">
    <tableColumn id="1" xr3:uid="{C818587E-4CCB-4426-88DF-69518798A8D5}" name="STATION" dataDxfId="88"/>
    <tableColumn id="2" xr3:uid="{BF055EB5-DE9A-44EF-9D01-F6580A2F9007}" name="DEMO"/>
    <tableColumn id="3" xr3:uid="{CB812CC7-8E41-48B2-985C-713D6D51E153}" name="Lst Yr" dataDxfId="87"/>
    <tableColumn id="4" xr3:uid="{E63D642D-19C7-45BB-9F0D-1231413B4A18}" name="Lst Mnth" dataDxfId="86"/>
    <tableColumn id="5" xr3:uid="{4C61C514-046F-4834-B9FF-92FC311FF262}" name="Currnt" dataDxfId="85"/>
    <tableColumn id="6" xr3:uid="{98951834-8E2B-4296-86F6-1B05F792BC77}" name="BTB">
      <calculatedColumnFormula>(U25-T25)/T25</calculatedColumnFormula>
    </tableColumn>
    <tableColumn id="7" xr3:uid="{48E8177D-C696-4A19-B988-D904E5049E06}" name="YTY">
      <calculatedColumnFormula>(U25-S25)/S25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5DD021B-FE68-40DD-B219-2F5FC4899CCD}" name="MN_HP_IMP" displayName="MN_HP_IMP" ref="Y24:AE72" totalsRowShown="0" dataDxfId="84">
  <autoFilter ref="Y24:AE72" xr:uid="{25DD021B-FE68-40DD-B219-2F5FC4899CCD}"/>
  <tableColumns count="7">
    <tableColumn id="1" xr3:uid="{7927C84B-BF20-409A-98CE-CF0CCEF9EA95}" name="STATION" dataDxfId="83"/>
    <tableColumn id="2" xr3:uid="{CA436A40-EFCE-4297-A1C3-448F4F4D5661}" name="DEMO"/>
    <tableColumn id="3" xr3:uid="{237A5099-6B39-432F-AC3F-20C7DDAFC029}" name="Lst Yr" dataDxfId="82"/>
    <tableColumn id="4" xr3:uid="{D2610488-BB7B-4EDC-9677-88668AFA8362}" name="Lst Mnth" dataDxfId="81"/>
    <tableColumn id="5" xr3:uid="{59E50C8A-0ACA-4A3F-B252-11285341CABD}" name="Currnt" dataDxfId="80"/>
    <tableColumn id="6" xr3:uid="{3624B8B1-2C94-4649-97BE-BF86354BBE95}" name="BTB">
      <calculatedColumnFormula>(AC25-AB25)/AB25</calculatedColumnFormula>
    </tableColumn>
    <tableColumn id="7" xr3:uid="{25D2AB83-E39D-4F51-9C37-E5466C4492B2}" name="YTY">
      <calculatedColumnFormula>(AC25-AA25)/AA25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D56351-C3BB-43F0-B038-0865013F6517}" name="MN_HP_PCT" displayName="MN_HP_PCT" ref="AG24:AM72" totalsRowShown="0" dataDxfId="79">
  <autoFilter ref="AG24:AM72" xr:uid="{32D56351-C3BB-43F0-B038-0865013F6517}"/>
  <tableColumns count="7">
    <tableColumn id="1" xr3:uid="{C0B2C7CC-5623-4C17-844A-E7671CFF9F82}" name="STATION" dataDxfId="78"/>
    <tableColumn id="2" xr3:uid="{FF805ED1-EDE9-45A8-BFA6-304A420BFF27}" name="DEMO"/>
    <tableColumn id="3" xr3:uid="{33A2C07B-10E0-4299-AC6B-2426057603C9}" name="Lst Yr" dataDxfId="77"/>
    <tableColumn id="4" xr3:uid="{37297CE1-318B-4CE7-BDB6-CF3BCF6AA747}" name="Lst Mnth" dataDxfId="76"/>
    <tableColumn id="5" xr3:uid="{6A56275D-D76E-4031-ABCC-B94004B60511}" name="Currnt" dataDxfId="75"/>
    <tableColumn id="6" xr3:uid="{716B36EC-408A-4E41-8C2A-F68EA4B1A331}" name="BTB">
      <calculatedColumnFormula>(AK25-AJ25)/AJ25</calculatedColumnFormula>
    </tableColumn>
    <tableColumn id="7" xr3:uid="{10420A93-959A-43C9-B3CD-FB37BF2ECD5B}" name="YTY">
      <calculatedColumnFormula>(AK25-AI25)/AI25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488451D-608C-4B8D-8D47-DE3AD433781C}" name="Midd_RTG" displayName="Midd_RTG" ref="A13:G28" totalsRowShown="0" dataDxfId="74">
  <tableColumns count="7">
    <tableColumn id="1" xr3:uid="{6044DEEE-CF6F-4B70-8F67-F105A42BA535}" name="STATION" dataDxfId="73"/>
    <tableColumn id="2" xr3:uid="{965AF07A-5BF6-4FD9-8BFD-04243749D104}" name="DEMO"/>
    <tableColumn id="3" xr3:uid="{E184DDFA-31E9-4ED1-9F80-C3A3AC4D905B}" name="Lst Yr" dataDxfId="72"/>
    <tableColumn id="4" xr3:uid="{BBCF2D6F-9D4D-43EE-B0EC-1001062034C4}" name="Lst Mnth" dataDxfId="71"/>
    <tableColumn id="5" xr3:uid="{A08B0CC9-DAF7-4AC8-9032-19B5894338E3}" name="Currnt" dataDxfId="70"/>
    <tableColumn id="6" xr3:uid="{2B1D268C-58E9-488A-89E3-643303474654}" name="BTB">
      <calculatedColumnFormula>(E14-D14)/D14</calculatedColumnFormula>
    </tableColumn>
    <tableColumn id="7" xr3:uid="{5FC384B9-2EFE-441D-B334-EB375D0B49DD}" name="YTY">
      <calculatedColumnFormula>(E14-C14)/C14</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E292AB-E87E-42DE-8C41-91783B3B957E}" name="Midd_SHARE" displayName="Midd_SHARE" ref="I13:O28" totalsRowShown="0" dataDxfId="69">
  <autoFilter ref="I13:O28" xr:uid="{73E292AB-E87E-42DE-8C41-91783B3B957E}"/>
  <tableColumns count="7">
    <tableColumn id="1" xr3:uid="{A0268ED5-8BB6-4F0C-A7B4-EBA8FB521E25}" name="STATION" dataDxfId="68"/>
    <tableColumn id="2" xr3:uid="{560A6C59-CD4A-475E-AE69-63B2D9A4497A}" name="DEMO"/>
    <tableColumn id="3" xr3:uid="{1B956755-5CC6-4C97-AF8D-FFD2637299C6}" name="Lst Yr" dataDxfId="67"/>
    <tableColumn id="4" xr3:uid="{0AAE321C-82B4-4A3C-81D7-A64F65AA6D9E}" name="Lst Mnth" dataDxfId="66"/>
    <tableColumn id="5" xr3:uid="{897DAE73-6593-4F94-AB53-47CBF3C5D2B2}" name="Currnt" dataDxfId="65"/>
    <tableColumn id="6" xr3:uid="{746FA5FA-54EE-433F-86BE-44E655909100}" name="BTB">
      <calculatedColumnFormula>(M14-L14)/L14</calculatedColumnFormula>
    </tableColumn>
    <tableColumn id="7" xr3:uid="{6586E423-B348-4B7B-8EC3-711CA85528C0}" name="YTY">
      <calculatedColumnFormula>(M14-K14)/K14</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B2A1299-47FF-40F4-9404-3B55B4DE1F81}" name="Midd_IMP" displayName="Midd_IMP" ref="Q13:W28" totalsRowShown="0" dataDxfId="64">
  <autoFilter ref="Q13:W28" xr:uid="{0B2A1299-47FF-40F4-9404-3B55B4DE1F81}"/>
  <tableColumns count="7">
    <tableColumn id="1" xr3:uid="{AAD2F3F6-F6E3-4220-9C7B-4086EB50A6AA}" name="STATION" dataDxfId="63"/>
    <tableColumn id="2" xr3:uid="{1A310FA5-1E50-4865-A3FA-21F4D7D49177}" name="DEMO"/>
    <tableColumn id="3" xr3:uid="{8411DADA-7159-4391-8C40-22B0AA1D54CA}" name="Lst Yr" dataDxfId="62"/>
    <tableColumn id="4" xr3:uid="{738E1C8E-8F74-4396-8880-67431F14124B}" name="Lst Mnth" dataDxfId="61"/>
    <tableColumn id="5" xr3:uid="{2181DDA4-528B-4B7E-8838-9DD04724024D}" name="Currnt" dataDxfId="60"/>
    <tableColumn id="6" xr3:uid="{617CE1EA-35EF-4604-B252-A1D88090EEB7}" name="BTB">
      <calculatedColumnFormula>(U14-T14)/T14</calculatedColumnFormula>
    </tableColumn>
    <tableColumn id="7" xr3:uid="{B2C12F8A-CFD5-45BB-A110-F257931003BA}" name="YTY">
      <calculatedColumnFormula>(U14-S14)/S14</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8DB7E6E-9C4F-4FD9-BB34-01C17A197235}" name="Midd_HP_IMP" displayName="Midd_HP_IMP" ref="Y13:AE28" totalsRowShown="0" dataDxfId="59">
  <autoFilter ref="Y13:AE28" xr:uid="{A8DB7E6E-9C4F-4FD9-BB34-01C17A197235}"/>
  <tableColumns count="7">
    <tableColumn id="1" xr3:uid="{6955FB75-D8A5-4502-887F-961F59A45FEB}" name="STATION" dataDxfId="58"/>
    <tableColumn id="2" xr3:uid="{852D004F-C5CF-47A8-BB2F-62A7D79F9438}" name="DEMO"/>
    <tableColumn id="3" xr3:uid="{EB686521-03D7-4F4F-8CEF-857777375E8F}" name="Lst Yr" dataDxfId="57"/>
    <tableColumn id="4" xr3:uid="{3FB9AB52-2EB7-4AAF-9DFF-C37DD366EB4B}" name="Lst Mnth" dataDxfId="56"/>
    <tableColumn id="5" xr3:uid="{193930FB-DC13-4D24-9F03-7A2076E7D6C0}" name="Currnt" dataDxfId="55"/>
    <tableColumn id="6" xr3:uid="{DF1137CA-234F-4F98-B267-C7C6F244B9AE}" name="BTB">
      <calculatedColumnFormula>(AC14-AB14)/AB14</calculatedColumnFormula>
    </tableColumn>
    <tableColumn id="7" xr3:uid="{67589701-9202-4AA0-B548-ADB523301975}" name="YTY">
      <calculatedColumnFormula>(AC14-AA14)/AA14</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FFC3B36-94D0-4FC8-8B6C-B8F4F92141FA}" name="Midd_HP_PCT" displayName="Midd_HP_PCT" ref="AG13:AM28" totalsRowShown="0" dataDxfId="54">
  <autoFilter ref="AG13:AM28" xr:uid="{7FFC3B36-94D0-4FC8-8B6C-B8F4F92141FA}"/>
  <tableColumns count="7">
    <tableColumn id="1" xr3:uid="{C88C0E26-393E-4B98-9C20-0E10BAD336BC}" name="STATION" dataDxfId="53"/>
    <tableColumn id="2" xr3:uid="{7121962D-CCB9-4725-A957-C43B66F884AA}" name="DEMO"/>
    <tableColumn id="3" xr3:uid="{6D0D2441-698F-4347-BAC7-BB64147EBD08}" name="Lst Yr" dataDxfId="52"/>
    <tableColumn id="4" xr3:uid="{7FAA55D4-9C08-484D-B6C6-2C44960A021F}" name="Lst Mnth" dataDxfId="51"/>
    <tableColumn id="5" xr3:uid="{495AC7D1-7CB8-4CB1-898F-170EDD1B2FDB}" name="Currnt" dataDxfId="50"/>
    <tableColumn id="6" xr3:uid="{8EFC946C-7B84-4C42-90FE-0DE152AF5BFF}" name="BTB">
      <calculatedColumnFormula>(AK14-AJ14)/AJ14</calculatedColumnFormula>
    </tableColumn>
    <tableColumn id="7" xr3:uid="{AA2C2BAF-FB7C-4D6B-8F18-7DC2B882B210}" name="YTY">
      <calculatedColumnFormula>(AK14-AI14)/AI14</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B508E4A-D476-4615-99B8-554ADDC141DC}" name="EV_RTG" displayName="EV_RTG" ref="A18:G48" totalsRowShown="0" dataDxfId="49">
  <tableColumns count="7">
    <tableColumn id="1" xr3:uid="{001169FD-CC64-4B48-B49B-BB404F7DC607}" name="STATION" dataDxfId="48"/>
    <tableColumn id="2" xr3:uid="{DA2B92AB-FFB9-47CF-AB69-E83EB979869C}" name="DEMO"/>
    <tableColumn id="3" xr3:uid="{7AA19E21-75D9-4A3A-B78F-774A035F6861}" name="Lst Yr" dataDxfId="47"/>
    <tableColumn id="4" xr3:uid="{E18F87EC-90DF-4FAD-8C0D-B8D85843566A}" name="Lst Mnth" dataDxfId="46"/>
    <tableColumn id="5" xr3:uid="{08C2D4A4-2556-43BA-9B93-2E99EAE10E2C}" name="Currnt" dataDxfId="45"/>
    <tableColumn id="6" xr3:uid="{23857A79-B6E8-4235-98CC-5AB4E0577631}" name="BTB">
      <calculatedColumnFormula>(E19-D19)/D19</calculatedColumnFormula>
    </tableColumn>
    <tableColumn id="7" xr3:uid="{3E0403E9-BBFE-4169-A6C6-582141225AD5}" name="YTY">
      <calculatedColumnFormula>(E19-C19)/C19</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72D4F71-1877-4590-9815-9AF1D241C13D}" name="EV_SHARE" displayName="EV_SHARE" ref="I18:O48" totalsRowShown="0" dataDxfId="44">
  <autoFilter ref="I18:O48" xr:uid="{472D4F71-1877-4590-9815-9AF1D241C13D}"/>
  <tableColumns count="7">
    <tableColumn id="1" xr3:uid="{D4C878A1-0D69-476E-97DD-ECECC609735F}" name="STATION" dataDxfId="43"/>
    <tableColumn id="2" xr3:uid="{06C09095-4BE8-4A21-A5F9-089C781E743B}" name="DEMO"/>
    <tableColumn id="3" xr3:uid="{F596B6FD-0DBD-4618-A93E-72482EECE7CE}" name="Lst Yr" dataDxfId="42"/>
    <tableColumn id="4" xr3:uid="{0928AE43-6169-4FAF-B29F-EE26A4F2AC05}" name="Lst Mnth" dataDxfId="41"/>
    <tableColumn id="5" xr3:uid="{B56069BA-0309-4698-9353-5005CCC4EBAF}" name="Currnt" dataDxfId="40"/>
    <tableColumn id="6" xr3:uid="{F89B4899-86A6-4C2C-9623-AAD251E6DBA1}" name="BTB">
      <calculatedColumnFormula>(M19-L19)/L19</calculatedColumnFormula>
    </tableColumn>
    <tableColumn id="7" xr3:uid="{4EABAA2E-B7C8-49DC-B34D-5B75289F7971}" name="YTY">
      <calculatedColumnFormula>(M19-K19)/K19</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5148D9D-1AC3-4FEC-A150-DA95969BF13B}" name="EV_IMP" displayName="EV_IMP" ref="Q18:W48" totalsRowShown="0" dataDxfId="39">
  <autoFilter ref="Q18:W48" xr:uid="{65148D9D-1AC3-4FEC-A150-DA95969BF13B}"/>
  <tableColumns count="7">
    <tableColumn id="1" xr3:uid="{1EC40B1A-135D-46DD-9F61-7BFA2026D7A8}" name="STATION" dataDxfId="38"/>
    <tableColumn id="2" xr3:uid="{02F8126A-0F46-4B79-870A-E726DC8C3524}" name="DEMO"/>
    <tableColumn id="3" xr3:uid="{B93574CF-FE75-4A8C-AD3B-648633E39CAE}" name="Lst Yr" dataDxfId="37"/>
    <tableColumn id="4" xr3:uid="{8AA89716-E136-44F2-8A0C-9D9197EF798A}" name="Lst Mnth" dataDxfId="36"/>
    <tableColumn id="5" xr3:uid="{3325A61C-6BDC-44B1-B9EC-07FD5E142586}" name="Currnt" dataDxfId="35"/>
    <tableColumn id="6" xr3:uid="{1B801D19-21C7-4CC6-8A83-32671186DCF9}" name="BTB">
      <calculatedColumnFormula>(U19-T19)/T19</calculatedColumnFormula>
    </tableColumn>
    <tableColumn id="7" xr3:uid="{A53C8148-3E04-45AE-96E0-635769F16DFB}" name="YTY">
      <calculatedColumnFormula>(U19-S19)/S19</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2A6F030-FD80-4D08-9450-6C8B3A4FB633}" name="EV_HP_IMP" displayName="EV_HP_IMP" ref="Y18:AE48" totalsRowShown="0" dataDxfId="34">
  <autoFilter ref="Y18:AE48" xr:uid="{C2A6F030-FD80-4D08-9450-6C8B3A4FB633}"/>
  <tableColumns count="7">
    <tableColumn id="1" xr3:uid="{47305176-5F98-428E-90BD-99C7AA54D097}" name="STATION" dataDxfId="33"/>
    <tableColumn id="2" xr3:uid="{09083CBD-54E4-4BC2-A778-936ADB9974D2}" name="DEMO"/>
    <tableColumn id="3" xr3:uid="{61A9922F-21E1-4DD9-A8D1-801D5C1E9430}" name="Lst Yr" dataDxfId="32"/>
    <tableColumn id="4" xr3:uid="{FD91E51D-D5F1-49C3-87E2-19004612C2F2}" name="Lst Mnth" dataDxfId="31"/>
    <tableColumn id="5" xr3:uid="{EF772508-BB6D-42F0-80A0-0B44240399AE}" name="Currnt" dataDxfId="30"/>
    <tableColumn id="6" xr3:uid="{5AFC29A6-C34C-4AEA-ADBF-1B7C55AFA06B}" name="BTB">
      <calculatedColumnFormula>(AC19-AB19)/AB19</calculatedColumnFormula>
    </tableColumn>
    <tableColumn id="7" xr3:uid="{530B9AF6-D057-40D6-8E49-04DE72673D8D}" name="YTY">
      <calculatedColumnFormula>(AC19-AA19)/AA19</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F18C4A6-6FA5-4BFF-BE62-7C985F47F6F4}" name="EV_HP_PCT" displayName="EV_HP_PCT" ref="AG18:AM48" totalsRowShown="0" dataDxfId="29">
  <autoFilter ref="AG18:AM48" xr:uid="{4F18C4A6-6FA5-4BFF-BE62-7C985F47F6F4}"/>
  <tableColumns count="7">
    <tableColumn id="1" xr3:uid="{39E31CF7-7BE3-4FBD-B4B4-9F7B6590D490}" name="STATION" dataDxfId="28"/>
    <tableColumn id="2" xr3:uid="{1E2ABF1C-D334-41CE-8721-AEF5A5190030}" name="DEMO"/>
    <tableColumn id="3" xr3:uid="{F761FE5F-2F41-46DA-A06C-1566A8959FE1}" name="Lst Yr" dataDxfId="27"/>
    <tableColumn id="4" xr3:uid="{33695369-E6B7-49ED-AAF3-E2E1923C8073}" name="Lst Mnth" dataDxfId="26"/>
    <tableColumn id="5" xr3:uid="{F04730DE-3EE1-4B3C-94B3-E5E7A4E80800}" name="Currnt" dataDxfId="25"/>
    <tableColumn id="6" xr3:uid="{25EF3C37-6C27-4D50-AB1C-FC61FC346AFD}" name="BTB">
      <calculatedColumnFormula>(AK19-AJ19)/AJ19</calculatedColumnFormula>
    </tableColumn>
    <tableColumn id="7" xr3:uid="{0AB74093-3B3B-45CE-995A-43E6DF82D8A0}" name="YTY">
      <calculatedColumnFormula>(AK19-AI19)/AI19</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9AB34B9-9D79-48B0-A4DC-F62C4D0A7594}" name="LN_RTG" displayName="LN_RTG" ref="A14:G32" totalsRowShown="0" dataDxfId="24">
  <tableColumns count="7">
    <tableColumn id="1" xr3:uid="{1849A4DC-C95D-452C-966C-AB7339920DEF}" name="STATION" dataDxfId="23"/>
    <tableColumn id="2" xr3:uid="{7571B703-5F7F-48DF-942C-3F6B9C25EFC4}" name="DEMO"/>
    <tableColumn id="3" xr3:uid="{C000DC4F-1A98-4CF2-94BE-79CB62048225}" name="Lst Yr" dataDxfId="22"/>
    <tableColumn id="4" xr3:uid="{3F39F31C-7241-4D9C-9CC3-B48BB337611C}" name="Lst Mnth" dataDxfId="21"/>
    <tableColumn id="5" xr3:uid="{A9A4CD39-C34E-40C5-91C2-62A577E95B37}" name="Currnt" dataDxfId="20"/>
    <tableColumn id="6" xr3:uid="{F4514B10-9FBC-4C77-AC7A-05C9F393011E}" name="BTB">
      <calculatedColumnFormula>(E15-D15)/D15</calculatedColumnFormula>
    </tableColumn>
    <tableColumn id="7" xr3:uid="{46EA02AA-A7C2-4A31-94E1-894B089D07F5}" name="YTY">
      <calculatedColumnFormula>(E15-C15)/C15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F58C545-954E-4052-B827-1E41F45D9EFC}" name="LN_SHARE" displayName="LN_SHARE" ref="I14:O32" totalsRowShown="0" dataDxfId="19">
  <tableColumns count="7">
    <tableColumn id="1" xr3:uid="{7E4CF5AC-1892-4D2F-9F03-C856D0C86538}" name="STATION" dataDxfId="18"/>
    <tableColumn id="2" xr3:uid="{702178DB-DA4C-423A-8761-132158126601}" name="DEMO"/>
    <tableColumn id="3" xr3:uid="{AF5B36E5-9279-4BC3-ADFD-58F17793B65B}" name="Lst Yr" dataDxfId="17"/>
    <tableColumn id="4" xr3:uid="{ABDD3A67-9309-4AC0-A3AF-169F7B5EE839}" name="Lst Mnth" dataDxfId="16"/>
    <tableColumn id="5" xr3:uid="{8648C8AA-C8A8-4A59-B9F2-EB6902713CDE}" name="Currnt" dataDxfId="15"/>
    <tableColumn id="6" xr3:uid="{FF920CA6-838C-4256-A90D-24ECF087C050}" name="BTB">
      <calculatedColumnFormula>(M15-L15)/L15</calculatedColumnFormula>
    </tableColumn>
    <tableColumn id="7" xr3:uid="{1C7B6DBA-838A-4604-9D04-D674F660FF38}" name="YTY">
      <calculatedColumnFormula>(M15-K15)/K15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EF032E30-03F1-4FD6-8D37-AEE89361FAD7}" name="LN_IMP" displayName="LN_IMP" ref="Q14:W32" totalsRowShown="0" dataDxfId="14">
  <tableColumns count="7">
    <tableColumn id="1" xr3:uid="{F5CD88A0-3C6B-497E-807E-F275BF27E169}" name="STATION" dataDxfId="13"/>
    <tableColumn id="2" xr3:uid="{269CBA1B-E6A7-4474-AB0A-BC877335F4F5}" name="DEMO"/>
    <tableColumn id="3" xr3:uid="{4EAE96ED-B100-4632-9FDB-B04EC5A887BA}" name="Lst Yr" dataDxfId="12"/>
    <tableColumn id="4" xr3:uid="{EC2B5F8C-D2B2-4B43-A795-27102DFBB0C4}" name="Lst Mnth" dataDxfId="11"/>
    <tableColumn id="5" xr3:uid="{2E6B1B33-F356-487A-A65C-D95D5571AA1D}" name="Currnt" dataDxfId="10"/>
    <tableColumn id="6" xr3:uid="{95C4A339-792D-4941-B9C2-6F9AA865708B}" name="BTB">
      <calculatedColumnFormula>(U15-T15)/T15</calculatedColumnFormula>
    </tableColumn>
    <tableColumn id="7" xr3:uid="{43CE7299-8114-4401-9428-BEF8C42DC287}" name="YTY">
      <calculatedColumnFormula>(U15-S15)/S15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788CC6B1-9DF7-41E9-8998-9D1C7121E9FA}" name="LN_HP_IMP" displayName="LN_HP_IMP" ref="Y14:AE32" totalsRowShown="0" dataDxfId="9">
  <autoFilter ref="Y14:AE32" xr:uid="{788CC6B1-9DF7-41E9-8998-9D1C7121E9FA}"/>
  <tableColumns count="7">
    <tableColumn id="1" xr3:uid="{1D33CB58-7833-4D2E-877C-773DF51714CE}" name="STATION" dataDxfId="8"/>
    <tableColumn id="2" xr3:uid="{CBF0535F-920E-4C35-9541-C6696262617A}" name="DEMO"/>
    <tableColumn id="3" xr3:uid="{C43D12B5-5FCF-4AC8-A7A1-45DEA358C9B0}" name="Lst Yr" dataDxfId="7"/>
    <tableColumn id="4" xr3:uid="{29922ECD-D34E-46DC-AD53-EA1359A31668}" name="Lst Mnth" dataDxfId="6"/>
    <tableColumn id="5" xr3:uid="{14DFB254-0798-43A6-BDD8-01433E1312F3}" name="Currnt" dataDxfId="5"/>
    <tableColumn id="6" xr3:uid="{8E3F3A29-CBAA-4A63-8FA5-E153D3F66A92}" name="BTB">
      <calculatedColumnFormula>(AC15-AB15)/AB15</calculatedColumnFormula>
    </tableColumn>
    <tableColumn id="7" xr3:uid="{DB6FE97F-F51D-4730-98EA-7734ED06B9EE}" name="YTY">
      <calculatedColumnFormula>(AC15-AA15)/AA15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BCB5EB73-37FF-46F2-8AA8-60A9B3E5014F}" name="LN_HP_PCT" displayName="LN_HP_PCT" ref="AG14:AM32" totalsRowShown="0" dataDxfId="4">
  <autoFilter ref="AG14:AM32" xr:uid="{BCB5EB73-37FF-46F2-8AA8-60A9B3E5014F}"/>
  <tableColumns count="7">
    <tableColumn id="1" xr3:uid="{EA60AB02-78F4-4D79-8B3B-9655A3B599B9}" name="STATION" dataDxfId="3"/>
    <tableColumn id="2" xr3:uid="{06D3A2B7-49F7-42E8-A17E-2758703C37E9}" name="DEMO"/>
    <tableColumn id="3" xr3:uid="{7CBAB7BC-60E6-469B-A22E-6A076186A0A7}" name="Lst Yr" dataDxfId="2"/>
    <tableColumn id="4" xr3:uid="{2A441283-7F90-4435-9BF7-7B41D90DF609}" name="Lst Mnth" dataDxfId="1"/>
    <tableColumn id="5" xr3:uid="{B3F1EAE6-48C4-4E70-8357-17F7BA2C489B}" name="Currnt" dataDxfId="0"/>
    <tableColumn id="6" xr3:uid="{DE2D2F60-A787-4410-A7FA-EA86518EB166}" name="BTB">
      <calculatedColumnFormula>(AK15-AJ15)/AJ15</calculatedColumnFormula>
    </tableColumn>
    <tableColumn id="7" xr3:uid="{AEF7B253-2EBB-4B5A-82B8-A156175B69FD}" name="YTY">
      <calculatedColumnFormula>(AK15-AI15)/AI15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26" Type="http://schemas.openxmlformats.org/officeDocument/2006/relationships/table" Target="../tables/table5.xml"/><Relationship Id="rId3" Type="http://schemas.openxmlformats.org/officeDocument/2006/relationships/pivotTable" Target="../pivotTables/pivotTable3.xml"/><Relationship Id="rId21" Type="http://schemas.openxmlformats.org/officeDocument/2006/relationships/printerSettings" Target="../printerSettings/printerSettings2.bin"/><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5" Type="http://schemas.openxmlformats.org/officeDocument/2006/relationships/table" Target="../tables/table4.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openxmlformats.org/officeDocument/2006/relationships/table" Target="../tables/table3.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table" Target="../tables/table2.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28.xml"/><Relationship Id="rId13" Type="http://schemas.openxmlformats.org/officeDocument/2006/relationships/pivotTable" Target="../pivotTables/pivotTable33.xml"/><Relationship Id="rId18" Type="http://schemas.openxmlformats.org/officeDocument/2006/relationships/pivotTable" Target="../pivotTables/pivotTable38.xml"/><Relationship Id="rId3" Type="http://schemas.openxmlformats.org/officeDocument/2006/relationships/pivotTable" Target="../pivotTables/pivotTable23.xml"/><Relationship Id="rId21" Type="http://schemas.openxmlformats.org/officeDocument/2006/relationships/table" Target="../tables/table6.xml"/><Relationship Id="rId7" Type="http://schemas.openxmlformats.org/officeDocument/2006/relationships/pivotTable" Target="../pivotTables/pivotTable27.xml"/><Relationship Id="rId12" Type="http://schemas.openxmlformats.org/officeDocument/2006/relationships/pivotTable" Target="../pivotTables/pivotTable32.xml"/><Relationship Id="rId17" Type="http://schemas.openxmlformats.org/officeDocument/2006/relationships/pivotTable" Target="../pivotTables/pivotTable37.xml"/><Relationship Id="rId25" Type="http://schemas.openxmlformats.org/officeDocument/2006/relationships/table" Target="../tables/table10.xml"/><Relationship Id="rId2" Type="http://schemas.openxmlformats.org/officeDocument/2006/relationships/pivotTable" Target="../pivotTables/pivotTable22.xml"/><Relationship Id="rId16" Type="http://schemas.openxmlformats.org/officeDocument/2006/relationships/pivotTable" Target="../pivotTables/pivotTable36.xml"/><Relationship Id="rId20" Type="http://schemas.openxmlformats.org/officeDocument/2006/relationships/pivotTable" Target="../pivotTables/pivotTable40.xml"/><Relationship Id="rId1" Type="http://schemas.openxmlformats.org/officeDocument/2006/relationships/pivotTable" Target="../pivotTables/pivotTable21.xml"/><Relationship Id="rId6" Type="http://schemas.openxmlformats.org/officeDocument/2006/relationships/pivotTable" Target="../pivotTables/pivotTable26.xml"/><Relationship Id="rId11" Type="http://schemas.openxmlformats.org/officeDocument/2006/relationships/pivotTable" Target="../pivotTables/pivotTable31.xml"/><Relationship Id="rId24" Type="http://schemas.openxmlformats.org/officeDocument/2006/relationships/table" Target="../tables/table9.xml"/><Relationship Id="rId5" Type="http://schemas.openxmlformats.org/officeDocument/2006/relationships/pivotTable" Target="../pivotTables/pivotTable25.xml"/><Relationship Id="rId15" Type="http://schemas.openxmlformats.org/officeDocument/2006/relationships/pivotTable" Target="../pivotTables/pivotTable35.xml"/><Relationship Id="rId23" Type="http://schemas.openxmlformats.org/officeDocument/2006/relationships/table" Target="../tables/table8.xml"/><Relationship Id="rId10" Type="http://schemas.openxmlformats.org/officeDocument/2006/relationships/pivotTable" Target="../pivotTables/pivotTable30.xml"/><Relationship Id="rId19" Type="http://schemas.openxmlformats.org/officeDocument/2006/relationships/pivotTable" Target="../pivotTables/pivotTable39.xml"/><Relationship Id="rId4" Type="http://schemas.openxmlformats.org/officeDocument/2006/relationships/pivotTable" Target="../pivotTables/pivotTable24.xml"/><Relationship Id="rId9" Type="http://schemas.openxmlformats.org/officeDocument/2006/relationships/pivotTable" Target="../pivotTables/pivotTable29.xml"/><Relationship Id="rId14" Type="http://schemas.openxmlformats.org/officeDocument/2006/relationships/pivotTable" Target="../pivotTables/pivotTable34.xml"/><Relationship Id="rId22" Type="http://schemas.openxmlformats.org/officeDocument/2006/relationships/table" Target="../tables/table7.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48.xml"/><Relationship Id="rId13" Type="http://schemas.openxmlformats.org/officeDocument/2006/relationships/pivotTable" Target="../pivotTables/pivotTable53.xml"/><Relationship Id="rId18" Type="http://schemas.openxmlformats.org/officeDocument/2006/relationships/pivotTable" Target="../pivotTables/pivotTable58.xml"/><Relationship Id="rId3" Type="http://schemas.openxmlformats.org/officeDocument/2006/relationships/pivotTable" Target="../pivotTables/pivotTable43.xml"/><Relationship Id="rId21" Type="http://schemas.openxmlformats.org/officeDocument/2006/relationships/table" Target="../tables/table11.xml"/><Relationship Id="rId7" Type="http://schemas.openxmlformats.org/officeDocument/2006/relationships/pivotTable" Target="../pivotTables/pivotTable47.xml"/><Relationship Id="rId12" Type="http://schemas.openxmlformats.org/officeDocument/2006/relationships/pivotTable" Target="../pivotTables/pivotTable52.xml"/><Relationship Id="rId17" Type="http://schemas.openxmlformats.org/officeDocument/2006/relationships/pivotTable" Target="../pivotTables/pivotTable57.xml"/><Relationship Id="rId25" Type="http://schemas.openxmlformats.org/officeDocument/2006/relationships/table" Target="../tables/table15.xml"/><Relationship Id="rId2" Type="http://schemas.openxmlformats.org/officeDocument/2006/relationships/pivotTable" Target="../pivotTables/pivotTable42.xml"/><Relationship Id="rId16" Type="http://schemas.openxmlformats.org/officeDocument/2006/relationships/pivotTable" Target="../pivotTables/pivotTable56.xml"/><Relationship Id="rId20" Type="http://schemas.openxmlformats.org/officeDocument/2006/relationships/pivotTable" Target="../pivotTables/pivotTable60.xml"/><Relationship Id="rId1" Type="http://schemas.openxmlformats.org/officeDocument/2006/relationships/pivotTable" Target="../pivotTables/pivotTable41.xml"/><Relationship Id="rId6" Type="http://schemas.openxmlformats.org/officeDocument/2006/relationships/pivotTable" Target="../pivotTables/pivotTable46.xml"/><Relationship Id="rId11" Type="http://schemas.openxmlformats.org/officeDocument/2006/relationships/pivotTable" Target="../pivotTables/pivotTable51.xml"/><Relationship Id="rId24" Type="http://schemas.openxmlformats.org/officeDocument/2006/relationships/table" Target="../tables/table14.xml"/><Relationship Id="rId5" Type="http://schemas.openxmlformats.org/officeDocument/2006/relationships/pivotTable" Target="../pivotTables/pivotTable45.xml"/><Relationship Id="rId15" Type="http://schemas.openxmlformats.org/officeDocument/2006/relationships/pivotTable" Target="../pivotTables/pivotTable55.xml"/><Relationship Id="rId23" Type="http://schemas.openxmlformats.org/officeDocument/2006/relationships/table" Target="../tables/table13.xml"/><Relationship Id="rId10" Type="http://schemas.openxmlformats.org/officeDocument/2006/relationships/pivotTable" Target="../pivotTables/pivotTable50.xml"/><Relationship Id="rId19" Type="http://schemas.openxmlformats.org/officeDocument/2006/relationships/pivotTable" Target="../pivotTables/pivotTable59.xml"/><Relationship Id="rId4" Type="http://schemas.openxmlformats.org/officeDocument/2006/relationships/pivotTable" Target="../pivotTables/pivotTable44.xml"/><Relationship Id="rId9" Type="http://schemas.openxmlformats.org/officeDocument/2006/relationships/pivotTable" Target="../pivotTables/pivotTable49.xml"/><Relationship Id="rId14" Type="http://schemas.openxmlformats.org/officeDocument/2006/relationships/pivotTable" Target="../pivotTables/pivotTable54.xml"/><Relationship Id="rId22" Type="http://schemas.openxmlformats.org/officeDocument/2006/relationships/table" Target="../tables/table12.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68.xml"/><Relationship Id="rId13" Type="http://schemas.openxmlformats.org/officeDocument/2006/relationships/pivotTable" Target="../pivotTables/pivotTable73.xml"/><Relationship Id="rId18" Type="http://schemas.openxmlformats.org/officeDocument/2006/relationships/pivotTable" Target="../pivotTables/pivotTable78.xml"/><Relationship Id="rId3" Type="http://schemas.openxmlformats.org/officeDocument/2006/relationships/pivotTable" Target="../pivotTables/pivotTable63.xml"/><Relationship Id="rId21" Type="http://schemas.openxmlformats.org/officeDocument/2006/relationships/table" Target="../tables/table16.xml"/><Relationship Id="rId7" Type="http://schemas.openxmlformats.org/officeDocument/2006/relationships/pivotTable" Target="../pivotTables/pivotTable67.xml"/><Relationship Id="rId12" Type="http://schemas.openxmlformats.org/officeDocument/2006/relationships/pivotTable" Target="../pivotTables/pivotTable72.xml"/><Relationship Id="rId17" Type="http://schemas.openxmlformats.org/officeDocument/2006/relationships/pivotTable" Target="../pivotTables/pivotTable77.xml"/><Relationship Id="rId25" Type="http://schemas.openxmlformats.org/officeDocument/2006/relationships/table" Target="../tables/table20.xml"/><Relationship Id="rId2" Type="http://schemas.openxmlformats.org/officeDocument/2006/relationships/pivotTable" Target="../pivotTables/pivotTable62.xml"/><Relationship Id="rId16" Type="http://schemas.openxmlformats.org/officeDocument/2006/relationships/pivotTable" Target="../pivotTables/pivotTable76.xml"/><Relationship Id="rId20" Type="http://schemas.openxmlformats.org/officeDocument/2006/relationships/pivotTable" Target="../pivotTables/pivotTable80.xml"/><Relationship Id="rId1" Type="http://schemas.openxmlformats.org/officeDocument/2006/relationships/pivotTable" Target="../pivotTables/pivotTable61.xml"/><Relationship Id="rId6" Type="http://schemas.openxmlformats.org/officeDocument/2006/relationships/pivotTable" Target="../pivotTables/pivotTable66.xml"/><Relationship Id="rId11" Type="http://schemas.openxmlformats.org/officeDocument/2006/relationships/pivotTable" Target="../pivotTables/pivotTable71.xml"/><Relationship Id="rId24" Type="http://schemas.openxmlformats.org/officeDocument/2006/relationships/table" Target="../tables/table19.xml"/><Relationship Id="rId5" Type="http://schemas.openxmlformats.org/officeDocument/2006/relationships/pivotTable" Target="../pivotTables/pivotTable65.xml"/><Relationship Id="rId15" Type="http://schemas.openxmlformats.org/officeDocument/2006/relationships/pivotTable" Target="../pivotTables/pivotTable75.xml"/><Relationship Id="rId23" Type="http://schemas.openxmlformats.org/officeDocument/2006/relationships/table" Target="../tables/table18.xml"/><Relationship Id="rId10" Type="http://schemas.openxmlformats.org/officeDocument/2006/relationships/pivotTable" Target="../pivotTables/pivotTable70.xml"/><Relationship Id="rId19" Type="http://schemas.openxmlformats.org/officeDocument/2006/relationships/pivotTable" Target="../pivotTables/pivotTable79.xml"/><Relationship Id="rId4" Type="http://schemas.openxmlformats.org/officeDocument/2006/relationships/pivotTable" Target="../pivotTables/pivotTable64.xml"/><Relationship Id="rId9" Type="http://schemas.openxmlformats.org/officeDocument/2006/relationships/pivotTable" Target="../pivotTables/pivotTable69.xml"/><Relationship Id="rId14" Type="http://schemas.openxmlformats.org/officeDocument/2006/relationships/pivotTable" Target="../pivotTables/pivotTable74.xml"/><Relationship Id="rId22"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D5D9B-460B-47B3-BC61-8B557327678B}">
  <sheetPr codeName="Sheet1"/>
  <dimension ref="A1:Z52"/>
  <sheetViews>
    <sheetView showGridLines="0" tabSelected="1" workbookViewId="0">
      <selection activeCell="P6" sqref="P6"/>
    </sheetView>
  </sheetViews>
  <sheetFormatPr defaultColWidth="9.109375" defaultRowHeight="14.4" x14ac:dyDescent="0.3"/>
  <cols>
    <col min="1" max="1" width="9.109375" style="14" customWidth="1"/>
    <col min="2" max="10" width="9.109375" style="14"/>
    <col min="11" max="11" width="9.109375" style="14" customWidth="1"/>
    <col min="12" max="13" width="9.109375" style="14"/>
    <col min="14" max="14" width="16" style="14" customWidth="1"/>
    <col min="15" max="15" width="22" style="14" customWidth="1"/>
    <col min="16" max="16" width="17.5546875" style="14" customWidth="1"/>
    <col min="17" max="17" width="19.109375" style="14" customWidth="1"/>
    <col min="18" max="18" width="4.5546875" style="14" customWidth="1"/>
    <col min="19" max="19" width="18.44140625" style="14" customWidth="1"/>
    <col min="20" max="20" width="12.6640625" style="14" bestFit="1" customWidth="1"/>
    <col min="21" max="21" width="18.109375" style="14" customWidth="1"/>
    <col min="22" max="22" width="3.33203125" style="14" customWidth="1"/>
    <col min="23" max="25" width="9.109375" style="14"/>
    <col min="26" max="26" width="13.44140625" style="14" customWidth="1"/>
    <col min="27" max="16384" width="9.109375" style="14"/>
  </cols>
  <sheetData>
    <row r="1" spans="1:3" ht="23.25" customHeight="1" x14ac:dyDescent="0.3"/>
    <row r="2" spans="1:3" x14ac:dyDescent="0.3">
      <c r="A2" s="14" t="s">
        <v>126</v>
      </c>
    </row>
    <row r="3" spans="1:3" x14ac:dyDescent="0.3">
      <c r="A3" s="14" t="s">
        <v>83</v>
      </c>
    </row>
    <row r="4" spans="1:3" ht="15.75" customHeight="1" x14ac:dyDescent="0.3"/>
    <row r="5" spans="1:3" ht="14.25" customHeight="1" x14ac:dyDescent="0.3"/>
    <row r="6" spans="1:3" ht="18" customHeight="1" x14ac:dyDescent="0.3"/>
    <row r="7" spans="1:3" ht="17.399999999999999" customHeight="1" x14ac:dyDescent="0.3"/>
    <row r="9" spans="1:3" ht="21" customHeight="1" x14ac:dyDescent="0.3">
      <c r="A9" s="48" t="s">
        <v>68</v>
      </c>
      <c r="B9" s="49"/>
      <c r="C9" s="50"/>
    </row>
    <row r="30" spans="15:26" ht="23.4" x14ac:dyDescent="0.45">
      <c r="O30" s="16"/>
      <c r="P30" s="16"/>
      <c r="Q30" s="16"/>
      <c r="R30" s="26" t="str">
        <f>'Midday Programs'!E56</f>
        <v>P25-54</v>
      </c>
      <c r="S30" s="16"/>
      <c r="T30" s="16"/>
      <c r="U30" s="16"/>
      <c r="W30" s="46" t="str">
        <f>A3 &amp; " TOP 4 RANK"</f>
        <v>RATINGS TOP 4 RANK</v>
      </c>
      <c r="X30" s="47"/>
      <c r="Y30" s="47"/>
      <c r="Z30" s="47"/>
    </row>
    <row r="31" spans="15:26" ht="16.2" thickBot="1" x14ac:dyDescent="0.35">
      <c r="W31" s="45" t="s">
        <v>11</v>
      </c>
      <c r="X31" s="45"/>
      <c r="Y31" s="45"/>
      <c r="Z31" s="45"/>
    </row>
    <row r="32" spans="15:26" x14ac:dyDescent="0.3">
      <c r="O32" s="17" t="s">
        <v>41</v>
      </c>
      <c r="P32" s="16" t="s">
        <v>49</v>
      </c>
      <c r="Q32" s="17"/>
      <c r="R32" s="17"/>
      <c r="S32" s="17" t="s">
        <v>41</v>
      </c>
      <c r="T32" s="16" t="s">
        <v>50</v>
      </c>
      <c r="U32" s="17"/>
      <c r="W32" s="29">
        <v>1</v>
      </c>
      <c r="X32" s="30"/>
      <c r="Y32" s="30" t="s">
        <v>113</v>
      </c>
      <c r="Z32" s="31"/>
    </row>
    <row r="33" spans="1:26" x14ac:dyDescent="0.3">
      <c r="O33" s="18" t="str" cm="1">
        <f t="array" ref="O33:P33">IF('Midday Programs'!BE19=0,"",'Midday Programs'!BE19:BF19)</f>
        <v>ST1 -Program 1</v>
      </c>
      <c r="P33" s="19">
        <v>-0.12283136859350384</v>
      </c>
      <c r="Q33" s="20">
        <f>IF(P33="","",P33)</f>
        <v>-0.12283136859350384</v>
      </c>
      <c r="R33" s="18"/>
      <c r="S33" s="18" t="str" cm="1">
        <f t="array" ref="S33:T33">IF('Midday Programs'!BG19=0,"",'Midday Programs'!BG19:BH19)</f>
        <v>ST1 -Program 1</v>
      </c>
      <c r="T33" s="19">
        <v>-0.18409913337261613</v>
      </c>
      <c r="U33" s="20">
        <f>IF(T33="","",T33)</f>
        <v>-0.18409913337261613</v>
      </c>
      <c r="W33" s="40">
        <v>2</v>
      </c>
      <c r="X33" s="11"/>
      <c r="Y33" s="11" t="s">
        <v>114</v>
      </c>
      <c r="Z33" s="32"/>
    </row>
    <row r="34" spans="1:26" x14ac:dyDescent="0.3">
      <c r="O34" s="18" t="str" cm="1">
        <f t="array" ref="O34:P34">IF('Midday Programs'!BE20=0,"",'Midday Programs'!BE20:BF20)</f>
        <v>ST1 -Program 2</v>
      </c>
      <c r="P34" s="20" t="str">
        <v/>
      </c>
      <c r="Q34" s="20" t="str">
        <f t="shared" ref="Q34:Q48" si="0">IF(P34="","",P34)</f>
        <v/>
      </c>
      <c r="R34" s="18"/>
      <c r="S34" s="18" t="str" cm="1">
        <f t="array" ref="S34:T34">IF('Midday Programs'!BG20=0,"",'Midday Programs'!BG20:BH20)</f>
        <v>ST1 -Program 2</v>
      </c>
      <c r="T34" s="19">
        <v>0.29630302329077995</v>
      </c>
      <c r="U34" s="20">
        <f t="shared" ref="U34:U48" si="1">IF(T34="","",T34)</f>
        <v>0.29630302329077995</v>
      </c>
      <c r="W34" s="41">
        <v>3</v>
      </c>
      <c r="X34" s="28"/>
      <c r="Y34" s="28" t="s">
        <v>111</v>
      </c>
      <c r="Z34" s="33"/>
    </row>
    <row r="35" spans="1:26" x14ac:dyDescent="0.3">
      <c r="O35" s="18" t="str" cm="1">
        <f t="array" ref="O35:P35">IF('Midday Programs'!BE21=0,"",'Midday Programs'!BE21:BF21)</f>
        <v>ST2 - Program 1</v>
      </c>
      <c r="P35" s="20">
        <v>2.1276478521911382</v>
      </c>
      <c r="Q35" s="20">
        <f t="shared" si="0"/>
        <v>2.1276478521911382</v>
      </c>
      <c r="R35" s="18"/>
      <c r="S35" s="18" t="str" cm="1">
        <f t="array" ref="S35:T35">IF('Midday Programs'!BG21=0,"",'Midday Programs'!BG21:BH21)</f>
        <v>ST2 - Program 1</v>
      </c>
      <c r="T35" s="19">
        <v>1.7758247566605578</v>
      </c>
      <c r="U35" s="20">
        <f t="shared" si="1"/>
        <v>1.7758247566605578</v>
      </c>
      <c r="W35" s="40">
        <v>4</v>
      </c>
      <c r="X35" s="11"/>
      <c r="Y35" s="11" t="s">
        <v>116</v>
      </c>
      <c r="Z35" s="32"/>
    </row>
    <row r="36" spans="1:26" ht="15" thickBot="1" x14ac:dyDescent="0.35">
      <c r="O36" s="18" t="str" cm="1">
        <f t="array" ref="O36:P36">IF('Midday Programs'!BE22=0,"",'Midday Programs'!BE22:BF22)</f>
        <v>ST3 - Program 1</v>
      </c>
      <c r="P36" s="20">
        <v>0.51951552081644314</v>
      </c>
      <c r="Q36" s="20">
        <f t="shared" si="0"/>
        <v>0.51951552081644314</v>
      </c>
      <c r="R36" s="18"/>
      <c r="S36" s="18" t="str" cm="1">
        <f t="array" ref="S36:T36">IF('Midday Programs'!BG22=0,"",'Midday Programs'!BG22:BH22)</f>
        <v>ST3 - Program 1</v>
      </c>
      <c r="T36" s="19">
        <v>-0.59424661493482922</v>
      </c>
      <c r="U36" s="20">
        <f t="shared" si="1"/>
        <v>-0.59424661493482922</v>
      </c>
      <c r="W36" s="34"/>
      <c r="X36" s="35"/>
      <c r="Y36" s="35"/>
      <c r="Z36" s="36"/>
    </row>
    <row r="37" spans="1:26" ht="16.2" thickBot="1" x14ac:dyDescent="0.35">
      <c r="O37" s="18" t="str" cm="1">
        <f t="array" ref="O37:P37">IF('Midday Programs'!BE23=0,"",'Midday Programs'!BE23:BF23)</f>
        <v>ST4 - Program 1</v>
      </c>
      <c r="P37" s="20">
        <v>0.20630841492041677</v>
      </c>
      <c r="Q37" s="20">
        <f t="shared" si="0"/>
        <v>0.20630841492041677</v>
      </c>
      <c r="R37" s="18"/>
      <c r="S37" s="18" t="str" cm="1">
        <f t="array" ref="S37:T37">IF('Midday Programs'!BG23=0,"",'Midday Programs'!BG23:BH23)</f>
        <v>ST4 - Program 1</v>
      </c>
      <c r="T37" s="19">
        <v>7.7622905540002174E-2</v>
      </c>
      <c r="U37" s="20">
        <f t="shared" si="1"/>
        <v>7.7622905540002174E-2</v>
      </c>
      <c r="W37" s="45" t="s">
        <v>10</v>
      </c>
      <c r="X37" s="45"/>
      <c r="Y37" s="45"/>
      <c r="Z37" s="45"/>
    </row>
    <row r="38" spans="1:26" x14ac:dyDescent="0.3">
      <c r="O38" s="18" t="str" cm="1">
        <f t="array" ref="O38">IF('Midday Programs'!BE24=0,"",'Midday Programs'!BE24:BF24)</f>
        <v/>
      </c>
      <c r="P38" s="20"/>
      <c r="Q38" s="20" t="str">
        <f t="shared" si="0"/>
        <v/>
      </c>
      <c r="R38" s="18"/>
      <c r="S38" s="18" t="str" cm="1">
        <f t="array" ref="S38">IF('Midday Programs'!BG24=0,"",'Midday Programs'!BG24:BH24)</f>
        <v/>
      </c>
      <c r="T38" s="19"/>
      <c r="U38" s="20" t="str">
        <f t="shared" si="1"/>
        <v/>
      </c>
      <c r="W38" s="29"/>
      <c r="X38" s="28"/>
      <c r="Y38" s="28" t="s">
        <v>111</v>
      </c>
      <c r="Z38" s="31"/>
    </row>
    <row r="39" spans="1:26" x14ac:dyDescent="0.3">
      <c r="O39" s="18" t="str" cm="1">
        <f t="array" ref="O39">IF('Midday Programs'!BE25=0,"",'Midday Programs'!BE25:BF25)</f>
        <v/>
      </c>
      <c r="P39" s="20"/>
      <c r="Q39" s="20" t="str">
        <f t="shared" si="0"/>
        <v/>
      </c>
      <c r="R39" s="18"/>
      <c r="S39" s="18" t="str" cm="1">
        <f t="array" ref="S39">IF('Midday Programs'!BG25=0,"",'Midday Programs'!BG25:BH25)</f>
        <v/>
      </c>
      <c r="T39" s="19"/>
      <c r="U39" s="20" t="str">
        <f t="shared" si="1"/>
        <v/>
      </c>
      <c r="W39" s="40">
        <v>2</v>
      </c>
      <c r="X39" s="11"/>
      <c r="Y39" s="11" t="s">
        <v>114</v>
      </c>
      <c r="Z39" s="32"/>
    </row>
    <row r="40" spans="1:26" x14ac:dyDescent="0.3">
      <c r="O40" s="18" t="str" cm="1">
        <f t="array" ref="O40">IF('Midday Programs'!BE26=0,"",'Midday Programs'!BE26:BF26)</f>
        <v/>
      </c>
      <c r="P40" s="20"/>
      <c r="Q40" s="20" t="str">
        <f t="shared" si="0"/>
        <v/>
      </c>
      <c r="R40" s="18"/>
      <c r="S40" s="18" t="str" cm="1">
        <f t="array" ref="S40">IF('Midday Programs'!BG26=0,"",'Midday Programs'!BG26:BH26)</f>
        <v/>
      </c>
      <c r="T40" s="19"/>
      <c r="U40" s="20" t="str">
        <f t="shared" si="1"/>
        <v/>
      </c>
      <c r="W40" s="41">
        <v>3</v>
      </c>
      <c r="X40" s="28"/>
      <c r="Y40" s="28" t="s">
        <v>115</v>
      </c>
      <c r="Z40" s="33"/>
    </row>
    <row r="41" spans="1:26" x14ac:dyDescent="0.3">
      <c r="O41" s="18" t="str" cm="1">
        <f t="array" ref="O41">IF('Midday Programs'!BE27=0,"",'Midday Programs'!BE27:BF27)</f>
        <v/>
      </c>
      <c r="P41" s="20"/>
      <c r="Q41" s="20" t="str">
        <f t="shared" si="0"/>
        <v/>
      </c>
      <c r="R41" s="18"/>
      <c r="S41" s="18" t="str" cm="1">
        <f t="array" ref="S41">IF('Midday Programs'!BG27=0,"",'Midday Programs'!BG27:BH27)</f>
        <v/>
      </c>
      <c r="T41" s="19"/>
      <c r="U41" s="20" t="str">
        <f t="shared" si="1"/>
        <v/>
      </c>
      <c r="W41" s="40">
        <v>4</v>
      </c>
      <c r="X41" s="11"/>
      <c r="Y41" s="11" t="s">
        <v>116</v>
      </c>
      <c r="Z41" s="32"/>
    </row>
    <row r="42" spans="1:26" ht="15" thickBot="1" x14ac:dyDescent="0.35">
      <c r="O42" s="18" t="str" cm="1">
        <f t="array" ref="O42">IF('Midday Programs'!BE28=0,"",'Midday Programs'!BE28:BF28)</f>
        <v/>
      </c>
      <c r="P42" s="20"/>
      <c r="Q42" s="20" t="str">
        <f t="shared" si="0"/>
        <v/>
      </c>
      <c r="R42" s="18"/>
      <c r="S42" s="18" t="str" cm="1">
        <f t="array" ref="S42">IF('Midday Programs'!BG28=0,"",'Midday Programs'!BG28:BH28)</f>
        <v/>
      </c>
      <c r="T42" s="19"/>
      <c r="U42" s="20" t="str">
        <f t="shared" si="1"/>
        <v/>
      </c>
      <c r="W42" s="34"/>
      <c r="X42" s="35"/>
      <c r="Y42" s="35"/>
      <c r="Z42" s="36"/>
    </row>
    <row r="43" spans="1:26" ht="16.2" thickBot="1" x14ac:dyDescent="0.35">
      <c r="O43" s="18" t="str" cm="1">
        <f t="array" ref="O43">IF('Midday Programs'!BE29=0,"",'Midday Programs'!BE29:BF29)</f>
        <v/>
      </c>
      <c r="P43" s="20"/>
      <c r="Q43" s="20" t="str">
        <f t="shared" si="0"/>
        <v/>
      </c>
      <c r="R43" s="18"/>
      <c r="S43" s="18" t="str" cm="1">
        <f t="array" ref="S43">IF('Midday Programs'!BG29=0,"",'Midday Programs'!BG29:BH29)</f>
        <v/>
      </c>
      <c r="T43" s="19"/>
      <c r="U43" s="20" t="str">
        <f t="shared" si="1"/>
        <v/>
      </c>
      <c r="W43" s="45" t="s">
        <v>12</v>
      </c>
      <c r="X43" s="45"/>
      <c r="Y43" s="45"/>
      <c r="Z43" s="45"/>
    </row>
    <row r="44" spans="1:26" x14ac:dyDescent="0.3">
      <c r="O44" s="18" t="str" cm="1">
        <f t="array" ref="O44">IF('Midday Programs'!BE30=0,"",'Midday Programs'!BE30:BF30)</f>
        <v/>
      </c>
      <c r="P44" s="20"/>
      <c r="Q44" s="20" t="str">
        <f t="shared" si="0"/>
        <v/>
      </c>
      <c r="R44" s="18"/>
      <c r="S44" s="18" t="str" cm="1">
        <f t="array" ref="S44">IF('Midday Programs'!BG30=0,"",'Midday Programs'!BG30:BH30)</f>
        <v/>
      </c>
      <c r="T44" s="19"/>
      <c r="U44" s="20" t="str">
        <f t="shared" si="1"/>
        <v/>
      </c>
      <c r="W44" s="29"/>
      <c r="X44" s="28"/>
      <c r="Y44" s="28" t="s">
        <v>113</v>
      </c>
      <c r="Z44" s="31"/>
    </row>
    <row r="45" spans="1:26" x14ac:dyDescent="0.3">
      <c r="A45" s="25" t="s">
        <v>125</v>
      </c>
      <c r="O45" s="18" t="str" cm="1">
        <f t="array" ref="O45">IF('Midday Programs'!BE31=0,"",'Midday Programs'!BE31:BF31)</f>
        <v/>
      </c>
      <c r="P45" s="20"/>
      <c r="Q45" s="20" t="str">
        <f t="shared" si="0"/>
        <v/>
      </c>
      <c r="R45" s="18"/>
      <c r="S45" s="18" t="str" cm="1">
        <f t="array" ref="S45">IF('Midday Programs'!BG31=0,"",'Midday Programs'!BG31:BH31)</f>
        <v/>
      </c>
      <c r="T45" s="19"/>
      <c r="U45" s="20" t="str">
        <f t="shared" si="1"/>
        <v/>
      </c>
      <c r="W45" s="42">
        <v>2</v>
      </c>
      <c r="X45" s="11"/>
      <c r="Y45" s="11" t="s">
        <v>115</v>
      </c>
      <c r="Z45" s="32"/>
    </row>
    <row r="46" spans="1:26" x14ac:dyDescent="0.3">
      <c r="A46" s="25" t="s">
        <v>126</v>
      </c>
      <c r="O46" s="18" t="str" cm="1">
        <f t="array" ref="O46">IF('Midday Programs'!BE32=0,"",'Midday Programs'!BE32:BF32)</f>
        <v/>
      </c>
      <c r="P46" s="20"/>
      <c r="Q46" s="20" t="str">
        <f t="shared" si="0"/>
        <v/>
      </c>
      <c r="R46" s="18"/>
      <c r="S46" s="18" t="str" cm="1">
        <f t="array" ref="S46">IF('Midday Programs'!BG32=0,"",'Midday Programs'!BG32:BH32)</f>
        <v/>
      </c>
      <c r="T46" s="19"/>
      <c r="U46" s="20" t="str">
        <f t="shared" si="1"/>
        <v/>
      </c>
      <c r="W46" s="43">
        <v>3</v>
      </c>
      <c r="X46" s="28"/>
      <c r="Y46" s="28" t="s">
        <v>116</v>
      </c>
      <c r="Z46" s="33"/>
    </row>
    <row r="47" spans="1:26" x14ac:dyDescent="0.3">
      <c r="A47" s="25" t="s">
        <v>127</v>
      </c>
      <c r="O47" s="18" t="str" cm="1">
        <f t="array" ref="O47">IF('Midday Programs'!BE33=0,"",'Midday Programs'!BE33:BF33)</f>
        <v/>
      </c>
      <c r="P47" s="20"/>
      <c r="Q47" s="20" t="str">
        <f t="shared" si="0"/>
        <v/>
      </c>
      <c r="R47" s="18"/>
      <c r="S47" s="18" t="str" cm="1">
        <f t="array" ref="S47">IF('Midday Programs'!BG33=0,"",'Midday Programs'!BG33:BH33)</f>
        <v/>
      </c>
      <c r="T47" s="19"/>
      <c r="U47" s="20" t="str">
        <f t="shared" si="1"/>
        <v/>
      </c>
      <c r="W47" s="42">
        <v>4</v>
      </c>
      <c r="X47" s="11"/>
      <c r="Y47" s="11" t="s">
        <v>111</v>
      </c>
      <c r="Z47" s="32"/>
    </row>
    <row r="48" spans="1:26" ht="15" thickBot="1" x14ac:dyDescent="0.35">
      <c r="A48" s="25" t="s">
        <v>128</v>
      </c>
      <c r="O48" s="18" t="str" cm="1">
        <f t="array" ref="O48">IF('Midday Programs'!BE34=0,"",'Midday Programs'!BE34:BF34)</f>
        <v/>
      </c>
      <c r="P48" s="20"/>
      <c r="Q48" s="20" t="str">
        <f t="shared" si="0"/>
        <v/>
      </c>
      <c r="R48" s="18"/>
      <c r="S48" s="18" t="str" cm="1">
        <f t="array" ref="S48">IF('Midday Programs'!BG34=0,"",'Midday Programs'!BG34:BH34)</f>
        <v/>
      </c>
      <c r="T48" s="19"/>
      <c r="U48" s="20" t="str">
        <f t="shared" si="1"/>
        <v/>
      </c>
      <c r="W48" s="34"/>
      <c r="X48" s="35"/>
      <c r="Y48" s="35"/>
      <c r="Z48" s="36"/>
    </row>
    <row r="49" spans="16:16" x14ac:dyDescent="0.3">
      <c r="P49" s="15"/>
    </row>
    <row r="50" spans="16:16" x14ac:dyDescent="0.3">
      <c r="P50" s="15"/>
    </row>
    <row r="52" spans="16:16" ht="5.25" customHeight="1" x14ac:dyDescent="0.3"/>
  </sheetData>
  <sortState xmlns:xlrd2="http://schemas.microsoft.com/office/spreadsheetml/2017/richdata2" ref="P33:Q48">
    <sortCondition descending="1" ref="P33:P48"/>
  </sortState>
  <mergeCells count="5">
    <mergeCell ref="W43:Z43"/>
    <mergeCell ref="W30:Z30"/>
    <mergeCell ref="A9:C9"/>
    <mergeCell ref="W31:Z31"/>
    <mergeCell ref="W37:Z37"/>
  </mergeCells>
  <phoneticPr fontId="4" type="noConversion"/>
  <conditionalFormatting sqref="Q33:Q48">
    <cfRule type="dataBar" priority="3">
      <dataBar showValue="0">
        <cfvo type="min"/>
        <cfvo type="max"/>
        <color rgb="FF63C384"/>
      </dataBar>
      <extLst>
        <ext xmlns:x14="http://schemas.microsoft.com/office/spreadsheetml/2009/9/main" uri="{B025F937-C7B1-47D3-B67F-A62EFF666E3E}">
          <x14:id>{DD15516F-7C1D-4056-8C7C-A8764A2145AB}</x14:id>
        </ext>
      </extLst>
    </cfRule>
  </conditionalFormatting>
  <conditionalFormatting sqref="U33:U48">
    <cfRule type="dataBar" priority="1">
      <dataBar showValue="0">
        <cfvo type="min"/>
        <cfvo type="max"/>
        <color rgb="FF63C384"/>
      </dataBar>
      <extLst>
        <ext xmlns:x14="http://schemas.microsoft.com/office/spreadsheetml/2009/9/main" uri="{B025F937-C7B1-47D3-B67F-A62EFF666E3E}">
          <x14:id>{2FF22498-642F-4381-87BD-CCB0681C8660}</x14:id>
        </ext>
      </extLst>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035" r:id="rId4" name="daypt">
          <controlPr defaultSize="0" autoLine="0" autoPict="0" linkedCell="A2" listFillRange="A45:A48" r:id="rId5">
            <anchor moveWithCells="1">
              <from>
                <xdr:col>0</xdr:col>
                <xdr:colOff>213360</xdr:colOff>
                <xdr:row>1</xdr:row>
                <xdr:rowOff>30480</xdr:rowOff>
              </from>
              <to>
                <xdr:col>4</xdr:col>
                <xdr:colOff>83820</xdr:colOff>
                <xdr:row>2</xdr:row>
                <xdr:rowOff>175260</xdr:rowOff>
              </to>
            </anchor>
          </controlPr>
        </control>
      </mc:Choice>
      <mc:Fallback>
        <control shapeId="1035" r:id="rId4" name="daypt"/>
      </mc:Fallback>
    </mc:AlternateContent>
  </controls>
  <extLst>
    <ext xmlns:x14="http://schemas.microsoft.com/office/spreadsheetml/2009/9/main" uri="{78C0D931-6437-407d-A8EE-F0AAD7539E65}">
      <x14:conditionalFormattings>
        <x14:conditionalFormatting xmlns:xm="http://schemas.microsoft.com/office/excel/2006/main">
          <x14:cfRule type="dataBar" id="{DD15516F-7C1D-4056-8C7C-A8764A2145AB}">
            <x14:dataBar minLength="0" maxLength="100" border="1" negativeBarBorderColorSameAsPositive="0">
              <x14:cfvo type="autoMin"/>
              <x14:cfvo type="autoMax"/>
              <x14:borderColor rgb="FF63C384"/>
              <x14:negativeFillColor rgb="FFFF0000"/>
              <x14:negativeBorderColor rgb="FFFF0000"/>
              <x14:axisColor rgb="FF000000"/>
            </x14:dataBar>
          </x14:cfRule>
          <xm:sqref>Q33:Q48</xm:sqref>
        </x14:conditionalFormatting>
        <x14:conditionalFormatting xmlns:xm="http://schemas.microsoft.com/office/excel/2006/main">
          <x14:cfRule type="dataBar" id="{2FF22498-642F-4381-87BD-CCB0681C8660}">
            <x14:dataBar minLength="0" maxLength="100" border="1" negativeBarBorderColorSameAsPositive="0">
              <x14:cfvo type="autoMin"/>
              <x14:cfvo type="autoMax"/>
              <x14:borderColor rgb="FF63C384"/>
              <x14:negativeFillColor rgb="FFFF0000"/>
              <x14:negativeBorderColor rgb="FFFF0000"/>
              <x14:axisColor rgb="FF000000"/>
            </x14:dataBar>
          </x14:cfRule>
          <xm:sqref>U33:U48</xm:sqref>
        </x14:conditionalFormatting>
      </x14:conditionalFormattings>
    </ex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8716-CB99-4763-9963-4B03310DB771}">
  <sheetPr codeName="Sheet2"/>
  <dimension ref="A1:CU134"/>
  <sheetViews>
    <sheetView workbookViewId="0">
      <selection activeCell="BU35" sqref="BU35"/>
    </sheetView>
  </sheetViews>
  <sheetFormatPr defaultRowHeight="14.4" x14ac:dyDescent="0.3"/>
  <cols>
    <col min="1" max="1" width="26" bestFit="1" customWidth="1"/>
    <col min="2" max="2" width="6.5546875" bestFit="1" customWidth="1"/>
    <col min="3" max="3" width="12.33203125" customWidth="1"/>
    <col min="4" max="4" width="26" bestFit="1" customWidth="1"/>
    <col min="5" max="5" width="8.88671875" bestFit="1" customWidth="1"/>
    <col min="6" max="6" width="10.88671875" bestFit="1" customWidth="1"/>
    <col min="7" max="7" width="7.6640625" bestFit="1" customWidth="1"/>
    <col min="9" max="9" width="26" bestFit="1" customWidth="1"/>
    <col min="10" max="10" width="6.5546875" bestFit="1" customWidth="1"/>
    <col min="11" max="11" width="12.33203125" customWidth="1"/>
    <col min="12" max="12" width="13.109375" bestFit="1" customWidth="1"/>
    <col min="13" max="13" width="8.88671875" bestFit="1" customWidth="1"/>
    <col min="14" max="14" width="10.88671875" bestFit="1" customWidth="1"/>
    <col min="15" max="15" width="7.6640625" bestFit="1" customWidth="1"/>
    <col min="16" max="16" width="22.33203125" bestFit="1" customWidth="1"/>
    <col min="17" max="17" width="26" bestFit="1" customWidth="1"/>
    <col min="18" max="18" width="7" bestFit="1" customWidth="1"/>
    <col min="19" max="19" width="16" bestFit="1" customWidth="1"/>
    <col min="20" max="20" width="13.109375" bestFit="1" customWidth="1"/>
    <col min="21" max="21" width="8.88671875" bestFit="1" customWidth="1"/>
    <col min="22" max="22" width="10.88671875" bestFit="1" customWidth="1"/>
    <col min="23" max="23" width="7.6640625" bestFit="1" customWidth="1"/>
    <col min="24" max="24" width="11" bestFit="1" customWidth="1"/>
    <col min="25" max="25" width="26" bestFit="1" customWidth="1"/>
    <col min="26" max="26" width="9" bestFit="1" customWidth="1"/>
    <col min="27" max="27" width="12.33203125" customWidth="1"/>
    <col min="28" max="28" width="13.109375" bestFit="1" customWidth="1"/>
    <col min="29" max="29" width="9" bestFit="1" customWidth="1"/>
    <col min="30" max="30" width="10.88671875" bestFit="1" customWidth="1"/>
    <col min="31" max="31" width="9" bestFit="1" customWidth="1"/>
    <col min="32" max="32" width="11" bestFit="1" customWidth="1"/>
    <col min="33" max="33" width="26" bestFit="1" customWidth="1"/>
    <col min="34" max="34" width="6.5546875" bestFit="1" customWidth="1"/>
    <col min="35" max="35" width="12.33203125" customWidth="1"/>
    <col min="36" max="36" width="13.109375" bestFit="1" customWidth="1"/>
    <col min="37" max="37" width="8.88671875" bestFit="1" customWidth="1"/>
    <col min="38" max="38" width="10.88671875" bestFit="1" customWidth="1"/>
    <col min="39" max="39" width="7.6640625" bestFit="1" customWidth="1"/>
    <col min="40" max="56" width="11" bestFit="1" customWidth="1"/>
    <col min="57" max="57" width="16.109375" customWidth="1"/>
    <col min="58" max="59" width="22.33203125" bestFit="1" customWidth="1"/>
    <col min="60" max="60" width="11" bestFit="1" customWidth="1"/>
    <col min="61" max="61" width="15" customWidth="1"/>
    <col min="62" max="62" width="19.44140625" customWidth="1"/>
    <col min="63" max="63" width="12" customWidth="1"/>
    <col min="64" max="64" width="13.88671875" customWidth="1"/>
    <col min="65" max="65" width="14" customWidth="1"/>
    <col min="66" max="66" width="11" bestFit="1" customWidth="1"/>
    <col min="67" max="67" width="16.5546875" customWidth="1"/>
    <col min="68" max="68" width="14.6640625" customWidth="1"/>
    <col min="69" max="69" width="8.44140625" bestFit="1" customWidth="1"/>
    <col min="70" max="70" width="14.33203125" customWidth="1"/>
    <col min="71" max="71" width="18.5546875" bestFit="1" customWidth="1"/>
    <col min="72" max="72" width="11" bestFit="1" customWidth="1"/>
    <col min="73" max="73" width="22.33203125" bestFit="1" customWidth="1"/>
    <col min="74" max="74" width="11" bestFit="1" customWidth="1"/>
    <col min="75" max="75" width="8.44140625" bestFit="1" customWidth="1"/>
    <col min="76" max="76" width="16.33203125" customWidth="1"/>
    <col min="77" max="77" width="18.5546875" bestFit="1" customWidth="1"/>
    <col min="78" max="78" width="9" bestFit="1" customWidth="1"/>
    <col min="79" max="79" width="22.33203125" bestFit="1" customWidth="1"/>
    <col min="80" max="80" width="11" bestFit="1" customWidth="1"/>
    <col min="81" max="81" width="8.44140625" bestFit="1" customWidth="1"/>
    <col min="82" max="82" width="11" bestFit="1" customWidth="1"/>
    <col min="83" max="83" width="18.5546875" bestFit="1" customWidth="1"/>
    <col min="84" max="84" width="11" bestFit="1" customWidth="1"/>
    <col min="85" max="85" width="22.33203125" bestFit="1" customWidth="1"/>
    <col min="86" max="86" width="10" bestFit="1" customWidth="1"/>
    <col min="87" max="87" width="8.44140625" bestFit="1" customWidth="1"/>
    <col min="88" max="88" width="10" bestFit="1" customWidth="1"/>
    <col min="89" max="89" width="18.5546875" bestFit="1" customWidth="1"/>
    <col min="90" max="90" width="11" bestFit="1" customWidth="1"/>
    <col min="91" max="91" width="22.33203125" bestFit="1" customWidth="1"/>
    <col min="92" max="92" width="10" bestFit="1" customWidth="1"/>
    <col min="93" max="93" width="8.44140625" bestFit="1" customWidth="1"/>
    <col min="94" max="94" width="11" bestFit="1" customWidth="1"/>
    <col min="95" max="95" width="18.5546875" bestFit="1" customWidth="1"/>
    <col min="96" max="96" width="11" bestFit="1" customWidth="1"/>
    <col min="97" max="97" width="22.33203125" bestFit="1" customWidth="1"/>
    <col min="98" max="98" width="11" bestFit="1" customWidth="1"/>
    <col min="99" max="99" width="8.44140625" bestFit="1" customWidth="1"/>
    <col min="100" max="100" width="11.33203125" bestFit="1" customWidth="1"/>
    <col min="101" max="101" width="18.5546875" bestFit="1" customWidth="1"/>
    <col min="102" max="102" width="18" customWidth="1"/>
    <col min="103" max="103" width="18.5546875" bestFit="1" customWidth="1"/>
    <col min="105" max="105" width="18.5546875" bestFit="1" customWidth="1"/>
    <col min="107" max="107" width="18.5546875" bestFit="1" customWidth="1"/>
    <col min="110" max="110" width="18.5546875" bestFit="1" customWidth="1"/>
  </cols>
  <sheetData>
    <row r="1" spans="1:99" ht="15" thickBot="1" x14ac:dyDescent="0.35">
      <c r="A1" s="53" t="s">
        <v>0</v>
      </c>
      <c r="B1" s="53" t="s">
        <v>1</v>
      </c>
      <c r="C1" s="54" t="s">
        <v>2</v>
      </c>
      <c r="D1" s="54" t="s">
        <v>3</v>
      </c>
      <c r="E1" s="54" t="s">
        <v>4</v>
      </c>
      <c r="F1" s="2" t="s">
        <v>5</v>
      </c>
      <c r="G1" s="52" t="s">
        <v>6</v>
      </c>
      <c r="H1" s="52"/>
      <c r="I1" s="52"/>
      <c r="J1" s="52"/>
      <c r="K1" s="52"/>
      <c r="L1" s="52"/>
      <c r="M1" s="52"/>
      <c r="N1" s="52"/>
      <c r="O1" s="52"/>
      <c r="P1" s="52"/>
      <c r="Q1" s="52"/>
      <c r="R1" s="52"/>
      <c r="S1" s="52"/>
      <c r="T1" s="52"/>
      <c r="U1" s="52"/>
      <c r="V1" s="52" t="s">
        <v>7</v>
      </c>
      <c r="W1" s="52"/>
      <c r="X1" s="52"/>
      <c r="Y1" s="52"/>
      <c r="Z1" s="52"/>
      <c r="AA1" s="52"/>
      <c r="AB1" s="52"/>
      <c r="AC1" s="52"/>
      <c r="AD1" s="52"/>
      <c r="AE1" s="52"/>
      <c r="AF1" s="52"/>
      <c r="AG1" s="52"/>
      <c r="AH1" s="52"/>
      <c r="AI1" s="52"/>
      <c r="AJ1" s="52"/>
      <c r="AK1" s="52" t="s">
        <v>8</v>
      </c>
      <c r="AL1" s="52"/>
      <c r="AM1" s="52"/>
      <c r="AN1" s="52"/>
      <c r="AO1" s="52"/>
      <c r="AP1" s="52"/>
      <c r="AQ1" s="52"/>
      <c r="AR1" s="52"/>
      <c r="AS1" s="52"/>
      <c r="AT1" s="52"/>
      <c r="AU1" s="52"/>
      <c r="AV1" s="52"/>
      <c r="AW1" s="52"/>
      <c r="AX1" s="52"/>
      <c r="AY1" s="52"/>
      <c r="BE1" s="37" t="s">
        <v>69</v>
      </c>
      <c r="BF1" s="38" t="str">
        <f>_xlfn.CONCAT(BG4,BG2,BH1,BG3)</f>
        <v>='Midday Programs'!E133</v>
      </c>
      <c r="BG1" t="s">
        <v>46</v>
      </c>
      <c r="BH1" s="21" t="s">
        <v>74</v>
      </c>
      <c r="BJ1" s="51" t="s">
        <v>80</v>
      </c>
      <c r="BK1" s="51"/>
      <c r="BM1" s="51" t="s">
        <v>81</v>
      </c>
      <c r="BN1" s="51"/>
      <c r="BP1" s="51" t="s">
        <v>82</v>
      </c>
      <c r="BQ1" s="51"/>
      <c r="BS1" s="51" t="s">
        <v>83</v>
      </c>
      <c r="BT1" s="51"/>
      <c r="BV1" s="51" t="s">
        <v>83</v>
      </c>
      <c r="BW1" s="51"/>
      <c r="BY1" s="51" t="s">
        <v>55</v>
      </c>
      <c r="BZ1" s="51"/>
      <c r="CB1" s="51" t="s">
        <v>55</v>
      </c>
      <c r="CC1" s="51"/>
      <c r="CE1" s="51" t="s">
        <v>84</v>
      </c>
      <c r="CF1" s="51"/>
      <c r="CH1" s="51" t="s">
        <v>84</v>
      </c>
      <c r="CI1" s="51"/>
      <c r="CK1" s="51" t="s">
        <v>85</v>
      </c>
      <c r="CL1" s="51"/>
      <c r="CN1" s="51" t="s">
        <v>85</v>
      </c>
      <c r="CO1" s="51"/>
      <c r="CQ1" s="51" t="s">
        <v>44</v>
      </c>
      <c r="CR1" s="51"/>
      <c r="CT1" s="51" t="s">
        <v>44</v>
      </c>
      <c r="CU1" s="51"/>
    </row>
    <row r="2" spans="1:99" ht="15" thickBot="1" x14ac:dyDescent="0.35">
      <c r="A2" s="53" t="s">
        <v>0</v>
      </c>
      <c r="B2" s="53" t="s">
        <v>1</v>
      </c>
      <c r="C2" s="54"/>
      <c r="D2" s="54"/>
      <c r="E2" s="54"/>
      <c r="F2" s="1" t="s">
        <v>9</v>
      </c>
      <c r="G2" s="52" t="s">
        <v>10</v>
      </c>
      <c r="H2" s="52"/>
      <c r="I2" s="52"/>
      <c r="J2" s="52"/>
      <c r="K2" s="52"/>
      <c r="L2" s="52" t="s">
        <v>11</v>
      </c>
      <c r="M2" s="52"/>
      <c r="N2" s="52"/>
      <c r="O2" s="52"/>
      <c r="P2" s="52"/>
      <c r="Q2" s="52" t="s">
        <v>12</v>
      </c>
      <c r="R2" s="52"/>
      <c r="S2" s="52"/>
      <c r="T2" s="52"/>
      <c r="U2" s="52"/>
      <c r="V2" s="52" t="s">
        <v>10</v>
      </c>
      <c r="W2" s="52"/>
      <c r="X2" s="52"/>
      <c r="Y2" s="52"/>
      <c r="Z2" s="52"/>
      <c r="AA2" s="52" t="s">
        <v>11</v>
      </c>
      <c r="AB2" s="52"/>
      <c r="AC2" s="52"/>
      <c r="AD2" s="52"/>
      <c r="AE2" s="52"/>
      <c r="AF2" s="52" t="s">
        <v>12</v>
      </c>
      <c r="AG2" s="52"/>
      <c r="AH2" s="52"/>
      <c r="AI2" s="52"/>
      <c r="AJ2" s="52"/>
      <c r="AK2" s="52" t="s">
        <v>10</v>
      </c>
      <c r="AL2" s="52"/>
      <c r="AM2" s="52"/>
      <c r="AN2" s="52"/>
      <c r="AO2" s="52"/>
      <c r="AP2" s="52" t="s">
        <v>11</v>
      </c>
      <c r="AQ2" s="52"/>
      <c r="AR2" s="52"/>
      <c r="AS2" s="52"/>
      <c r="AT2" s="52"/>
      <c r="AU2" s="52" t="s">
        <v>12</v>
      </c>
      <c r="AV2" s="52"/>
      <c r="AW2" s="52"/>
      <c r="AX2" s="52"/>
      <c r="AY2" s="52"/>
      <c r="BE2" s="37" t="s">
        <v>70</v>
      </c>
      <c r="BF2" s="39" t="str">
        <f>_xlfn.CONCAT(BG4,BG2,BH2,BG3)</f>
        <v>='Midday Programs'!M133</v>
      </c>
      <c r="BG2" t="str">
        <f>'Ratings Dashboard'!A2</f>
        <v>Midday Programs</v>
      </c>
      <c r="BH2" s="21" t="s">
        <v>75</v>
      </c>
      <c r="BJ2" s="22" t="s">
        <v>41</v>
      </c>
      <c r="BK2" s="22" t="s">
        <v>60</v>
      </c>
      <c r="BM2" s="22" t="s">
        <v>41</v>
      </c>
      <c r="BN2" s="22" t="s">
        <v>60</v>
      </c>
      <c r="BP2" s="22" t="s">
        <v>41</v>
      </c>
      <c r="BQ2" s="22" t="s">
        <v>60</v>
      </c>
      <c r="BS2" s="22" t="s">
        <v>41</v>
      </c>
      <c r="BT2" s="22" t="s">
        <v>49</v>
      </c>
      <c r="BV2" s="22" t="s">
        <v>41</v>
      </c>
      <c r="BW2" s="22" t="s">
        <v>50</v>
      </c>
      <c r="BY2" s="22" t="s">
        <v>41</v>
      </c>
      <c r="BZ2" s="22" t="s">
        <v>49</v>
      </c>
      <c r="CB2" s="22" t="s">
        <v>41</v>
      </c>
      <c r="CC2" s="22" t="s">
        <v>50</v>
      </c>
      <c r="CE2" s="22" t="s">
        <v>41</v>
      </c>
      <c r="CF2" s="22" t="s">
        <v>49</v>
      </c>
      <c r="CH2" s="22" t="s">
        <v>41</v>
      </c>
      <c r="CI2" s="22" t="s">
        <v>50</v>
      </c>
      <c r="CK2" s="22" t="s">
        <v>41</v>
      </c>
      <c r="CL2" s="22" t="s">
        <v>49</v>
      </c>
      <c r="CN2" s="22" t="s">
        <v>41</v>
      </c>
      <c r="CO2" s="22" t="s">
        <v>50</v>
      </c>
      <c r="CQ2" s="22" t="s">
        <v>41</v>
      </c>
      <c r="CR2" s="22" t="s">
        <v>49</v>
      </c>
      <c r="CT2" s="22" t="s">
        <v>41</v>
      </c>
      <c r="CU2" s="22" t="s">
        <v>50</v>
      </c>
    </row>
    <row r="3" spans="1:99" ht="30.6" customHeight="1" thickBot="1" x14ac:dyDescent="0.35">
      <c r="A3" s="53" t="s">
        <v>0</v>
      </c>
      <c r="B3" s="53" t="s">
        <v>1</v>
      </c>
      <c r="C3" s="54"/>
      <c r="D3" s="54"/>
      <c r="E3" s="54"/>
      <c r="F3" s="1" t="s">
        <v>13</v>
      </c>
      <c r="G3" s="3" t="s">
        <v>14</v>
      </c>
      <c r="H3" s="3" t="s">
        <v>15</v>
      </c>
      <c r="I3" s="3" t="s">
        <v>16</v>
      </c>
      <c r="J3" s="3" t="s">
        <v>17</v>
      </c>
      <c r="K3" s="3" t="s">
        <v>18</v>
      </c>
      <c r="L3" s="3" t="s">
        <v>14</v>
      </c>
      <c r="M3" s="3" t="s">
        <v>15</v>
      </c>
      <c r="N3" s="3" t="s">
        <v>16</v>
      </c>
      <c r="O3" s="3" t="s">
        <v>17</v>
      </c>
      <c r="P3" s="3" t="s">
        <v>18</v>
      </c>
      <c r="Q3" s="3" t="s">
        <v>14</v>
      </c>
      <c r="R3" s="3" t="s">
        <v>15</v>
      </c>
      <c r="S3" s="3" t="s">
        <v>16</v>
      </c>
      <c r="T3" s="3" t="s">
        <v>17</v>
      </c>
      <c r="U3" s="3" t="s">
        <v>18</v>
      </c>
      <c r="V3" s="3" t="s">
        <v>14</v>
      </c>
      <c r="W3" s="3" t="s">
        <v>15</v>
      </c>
      <c r="X3" s="3" t="s">
        <v>16</v>
      </c>
      <c r="Y3" s="3" t="s">
        <v>17</v>
      </c>
      <c r="Z3" s="3" t="s">
        <v>18</v>
      </c>
      <c r="AA3" s="3" t="s">
        <v>14</v>
      </c>
      <c r="AB3" s="3" t="s">
        <v>15</v>
      </c>
      <c r="AC3" s="3" t="s">
        <v>16</v>
      </c>
      <c r="AD3" s="3" t="s">
        <v>17</v>
      </c>
      <c r="AE3" s="3" t="s">
        <v>18</v>
      </c>
      <c r="AF3" s="3" t="s">
        <v>14</v>
      </c>
      <c r="AG3" s="3" t="s">
        <v>15</v>
      </c>
      <c r="AH3" s="3" t="s">
        <v>16</v>
      </c>
      <c r="AI3" s="3" t="s">
        <v>17</v>
      </c>
      <c r="AJ3" s="3" t="s">
        <v>18</v>
      </c>
      <c r="AK3" s="3" t="s">
        <v>14</v>
      </c>
      <c r="AL3" s="3" t="s">
        <v>15</v>
      </c>
      <c r="AM3" s="3" t="s">
        <v>16</v>
      </c>
      <c r="AN3" s="3" t="s">
        <v>17</v>
      </c>
      <c r="AO3" s="3" t="s">
        <v>18</v>
      </c>
      <c r="AP3" s="3" t="s">
        <v>14</v>
      </c>
      <c r="AQ3" s="3" t="s">
        <v>15</v>
      </c>
      <c r="AR3" s="3" t="s">
        <v>16</v>
      </c>
      <c r="AS3" s="3" t="s">
        <v>17</v>
      </c>
      <c r="AT3" s="3" t="s">
        <v>18</v>
      </c>
      <c r="AU3" s="3" t="s">
        <v>14</v>
      </c>
      <c r="AV3" s="3" t="s">
        <v>15</v>
      </c>
      <c r="AW3" s="3" t="s">
        <v>16</v>
      </c>
      <c r="AX3" s="3" t="s">
        <v>17</v>
      </c>
      <c r="AY3" s="3" t="s">
        <v>18</v>
      </c>
      <c r="BE3" s="37" t="s">
        <v>71</v>
      </c>
      <c r="BF3" s="38" t="str">
        <f>_xlfn.CONCAT(BG4,BG2,BH3,BG3)</f>
        <v>='Midday Programs'!U133</v>
      </c>
      <c r="BG3">
        <v>133</v>
      </c>
      <c r="BH3" s="21" t="s">
        <v>76</v>
      </c>
      <c r="BJ3" s="4" t="s">
        <v>108</v>
      </c>
      <c r="BK3" s="4" t="s">
        <v>20</v>
      </c>
      <c r="BL3" t="str">
        <f>IF(BK3="","",BK3)</f>
        <v/>
      </c>
      <c r="BM3" s="4" t="s">
        <v>108</v>
      </c>
      <c r="BN3" s="4" t="s">
        <v>20</v>
      </c>
      <c r="BO3" t="str">
        <f>IF(BN3="","",BN3)</f>
        <v/>
      </c>
      <c r="BP3" s="4" t="s">
        <v>108</v>
      </c>
      <c r="BQ3" s="4" t="s">
        <v>20</v>
      </c>
      <c r="BR3" t="str">
        <f>IF(BQ3="","",BQ3)</f>
        <v/>
      </c>
      <c r="BS3" t="str" cm="1">
        <f t="array" ref="BS3:BT18">IFERROR(_xlfn._xlws.SORT(_xlfn.CHOOSECOLS(_xlfn._xlws.FILTER(MN_RTG[],MN_RTG[DEMO]=BF15,""),1,6),2,-1),"")</f>
        <v>ST3-Program 3 @ 11A</v>
      </c>
      <c r="BT3" t="str">
        <v/>
      </c>
      <c r="BV3" t="str" cm="1">
        <f t="array" ref="BV3:BW18">IFERROR(_xlfn._xlws.SORT(_xlfn.CHOOSECOLS(_xlfn._xlws.FILTER(MN_RTG[],MN_RTG[DEMO]=BF15,""),1,7),2,-1),"")</f>
        <v>ST3-Program 3 @ 11A</v>
      </c>
      <c r="BW3" t="str">
        <v/>
      </c>
      <c r="BY3" t="str" cm="1">
        <f t="array" ref="BY3:BZ18">IFERROR(_xlfn._xlws.SORT(_xlfn.CHOOSECOLS(_xlfn._xlws.FILTER(MN_SHARE[],MN_SHARE[DEMO]=BF15,""),1,6),2,-1),"")</f>
        <v>ST3-Program 3 @ 11A</v>
      </c>
      <c r="BZ3" t="str">
        <v/>
      </c>
      <c r="CB3" t="str" cm="1">
        <f t="array" ref="CB3:CC18">IFERROR(_xlfn._xlws.SORT(_xlfn.CHOOSECOLS(_xlfn._xlws.FILTER(MN_SHARE[],MN_SHARE[DEMO]=BF15,""),1,7),2,-1),"")</f>
        <v>ST3-Program 3 @ 11A</v>
      </c>
      <c r="CC3" t="str">
        <v/>
      </c>
      <c r="CE3" t="str" cm="1">
        <f t="array" ref="CE3:CF18">IFERROR(_xlfn._xlws.SORT(_xlfn.CHOOSECOLS(_xlfn._xlws.FILTER(MN_IMP[],MN_IMP[DEMO]=BF15,""),1,6),2,-1),"")</f>
        <v>ST3-Program 3 @ 11A</v>
      </c>
      <c r="CF3" t="str">
        <v/>
      </c>
      <c r="CH3" t="str" cm="1">
        <f t="array" ref="CH3:CI18">IFERROR(_xlfn._xlws.SORT(_xlfn.CHOOSECOLS(_xlfn._xlws.FILTER(MN_IMP[],MN_IMP[DEMO]=BF15,""),1,7),2,-1),"")</f>
        <v>ST3-Program 3 @ 11A</v>
      </c>
      <c r="CI3" t="str">
        <v/>
      </c>
      <c r="CK3" t="str" cm="1">
        <f t="array" ref="CK3:CL18">IFERROR(_xlfn._xlws.SORT(_xlfn.CHOOSECOLS(_xlfn._xlws.FILTER(MN_HP_IMP[],MN_HP_IMP[DEMO]=BF15,""),1,6),2,-1),"")</f>
        <v>ST3-Program 3 @ 11A</v>
      </c>
      <c r="CL3" t="str">
        <v/>
      </c>
      <c r="CN3" t="str" cm="1">
        <f t="array" ref="CN3:CO18">IFERROR(_xlfn._xlws.SORT(_xlfn.CHOOSECOLS(_xlfn._xlws.FILTER(MN_HP_IMP[],MN_HP_IMP[DEMO]=BF15,""),1,7),2,-1),"")</f>
        <v>ST3-Program 3 @ 11A</v>
      </c>
      <c r="CO3" t="str">
        <v/>
      </c>
      <c r="CQ3" t="str" cm="1">
        <f t="array" ref="CQ3:CR18">IFERROR(_xlfn._xlws.SORT(_xlfn.CHOOSECOLS(_xlfn._xlws.FILTER(MN_HP_PCT[],MN_HP_PCT[DEMO]=BF15,""),1,6),2,-1),"")</f>
        <v>ST3-Program 3 @ 11A</v>
      </c>
      <c r="CR3" t="str">
        <v/>
      </c>
      <c r="CT3" t="str" cm="1">
        <f t="array" ref="CT3:CU18">IFERROR(_xlfn._xlws.SORT(_xlfn.CHOOSECOLS(_xlfn._xlws.FILTER(MN_HP_PCT[],MN_HP_PCT[DEMO]=BF15,""),1,7),2,-1),"")</f>
        <v>ST3-Program 3 @ 11A</v>
      </c>
      <c r="CU3" t="str">
        <v/>
      </c>
    </row>
    <row r="4" spans="1:99" ht="21" thickBot="1" x14ac:dyDescent="0.35">
      <c r="A4" s="4" t="s">
        <v>89</v>
      </c>
      <c r="B4" s="4" t="s">
        <v>93</v>
      </c>
      <c r="C4" s="4" t="s">
        <v>97</v>
      </c>
      <c r="D4" s="44">
        <v>0.375</v>
      </c>
      <c r="E4" s="4" t="s">
        <v>19</v>
      </c>
      <c r="F4" s="4"/>
      <c r="G4" s="5">
        <v>0.47074286999999998</v>
      </c>
      <c r="H4" s="6">
        <v>8.0908352000000008</v>
      </c>
      <c r="I4" s="6">
        <v>5587</v>
      </c>
      <c r="J4" s="6">
        <v>5968.9</v>
      </c>
      <c r="K4" s="5">
        <v>4.2284795500000003</v>
      </c>
      <c r="L4" s="5">
        <v>0.86191302999999997</v>
      </c>
      <c r="M4" s="6">
        <v>12.08404801</v>
      </c>
      <c r="N4" s="6">
        <v>8620</v>
      </c>
      <c r="O4" s="6">
        <v>7776.9</v>
      </c>
      <c r="P4" s="5">
        <v>6.8739600000000003</v>
      </c>
      <c r="Q4" s="5">
        <v>0.88763053000000003</v>
      </c>
      <c r="R4" s="6">
        <v>11.75902831</v>
      </c>
      <c r="S4" s="6">
        <v>5054</v>
      </c>
      <c r="T4" s="6">
        <v>4298.3</v>
      </c>
      <c r="U4" s="5">
        <v>7.5485023599999996</v>
      </c>
      <c r="V4" s="5">
        <v>0.45259497999999998</v>
      </c>
      <c r="W4" s="6">
        <v>10.557890329999999</v>
      </c>
      <c r="X4" s="6">
        <v>5668</v>
      </c>
      <c r="Y4" s="6">
        <v>4368.5</v>
      </c>
      <c r="Z4" s="5">
        <v>4.2867936799999997</v>
      </c>
      <c r="AA4" s="5">
        <v>0.60420280000000004</v>
      </c>
      <c r="AB4" s="6">
        <v>10.96507269</v>
      </c>
      <c r="AC4" s="6">
        <v>6913</v>
      </c>
      <c r="AD4" s="6">
        <v>6421.3</v>
      </c>
      <c r="AE4" s="5">
        <v>5.6126216199999996</v>
      </c>
      <c r="AF4" s="5">
        <v>0.80122886000000004</v>
      </c>
      <c r="AG4" s="6">
        <v>13.32854212</v>
      </c>
      <c r="AH4" s="6">
        <v>4610</v>
      </c>
      <c r="AI4" s="6">
        <v>3459</v>
      </c>
      <c r="AJ4" s="5">
        <v>6.0113765499999996</v>
      </c>
      <c r="AK4" s="5">
        <v>0.52583343000000005</v>
      </c>
      <c r="AL4" s="6">
        <v>10.17025654</v>
      </c>
      <c r="AM4" s="6">
        <v>6585</v>
      </c>
      <c r="AN4" s="6">
        <v>6474.9</v>
      </c>
      <c r="AO4" s="5">
        <v>5.1703064100000002</v>
      </c>
      <c r="AP4" s="5">
        <v>0.72961480999999995</v>
      </c>
      <c r="AQ4" s="6">
        <v>12.103713750000001</v>
      </c>
      <c r="AR4" s="6">
        <v>8347</v>
      </c>
      <c r="AS4" s="6">
        <v>6896.5</v>
      </c>
      <c r="AT4" s="5">
        <v>6.0280243100000002</v>
      </c>
      <c r="AU4" s="5">
        <v>0.80870710999999995</v>
      </c>
      <c r="AV4" s="6">
        <v>13.07097701</v>
      </c>
      <c r="AW4" s="6">
        <v>4653</v>
      </c>
      <c r="AX4" s="6">
        <v>3560</v>
      </c>
      <c r="AY4" s="5">
        <v>6.1870441200000004</v>
      </c>
      <c r="BE4" s="37" t="s">
        <v>72</v>
      </c>
      <c r="BF4" s="38" t="str">
        <f>_xlfn.CONCAT(BG4,BG2,BH4,BG3)</f>
        <v>='Midday Programs'!AC133</v>
      </c>
      <c r="BG4" s="21" t="s">
        <v>79</v>
      </c>
      <c r="BH4" s="21" t="s">
        <v>77</v>
      </c>
      <c r="BJ4" s="4" t="s">
        <v>97</v>
      </c>
      <c r="BK4" s="5">
        <v>0.72961480999999995</v>
      </c>
      <c r="BL4">
        <f t="shared" ref="BL4:BL22" si="0">IF(BK4="","",BK4)</f>
        <v>0.72961480999999995</v>
      </c>
      <c r="BM4" s="4" t="s">
        <v>97</v>
      </c>
      <c r="BN4" s="5">
        <v>0.52583343000000005</v>
      </c>
      <c r="BO4">
        <f t="shared" ref="BO4:BO24" si="1">IF(BN4="","",BN4)</f>
        <v>0.52583343000000005</v>
      </c>
      <c r="BP4" s="4" t="s">
        <v>97</v>
      </c>
      <c r="BQ4" s="5">
        <v>0.80870710999999995</v>
      </c>
      <c r="BR4">
        <f t="shared" ref="BR4:BR24" si="2">IF(BQ4="","",BQ4)</f>
        <v>0.80870710999999995</v>
      </c>
      <c r="BS4" t="str">
        <v>ST3-Program 4 @ 1130A</v>
      </c>
      <c r="BT4">
        <v>0.46266155306520534</v>
      </c>
      <c r="BV4" t="str">
        <v>ST4 - Program 2</v>
      </c>
      <c r="BW4">
        <v>0.33038025424126627</v>
      </c>
      <c r="BY4" t="str">
        <v>ST3-Program 4 @ 1130A</v>
      </c>
      <c r="BZ4">
        <v>0.647850747454641</v>
      </c>
      <c r="CB4" t="str">
        <v>ST2-Program 1</v>
      </c>
      <c r="CC4">
        <v>1.1128204737041913</v>
      </c>
      <c r="CE4" t="str">
        <v>ST3-Program 4 @ 1130A</v>
      </c>
      <c r="CF4">
        <v>0.46203904555314534</v>
      </c>
      <c r="CH4" t="str">
        <v>ST2-Program 4</v>
      </c>
      <c r="CI4">
        <v>0.70799011532125211</v>
      </c>
      <c r="CK4" t="str">
        <v xml:space="preserve">ST1-Program 1 @ 9A </v>
      </c>
      <c r="CL4">
        <v>7.4003706414588921E-2</v>
      </c>
      <c r="CN4" t="str">
        <v>ST4 - Program 1</v>
      </c>
      <c r="CO4">
        <v>-7.4872298323388251E-2</v>
      </c>
      <c r="CQ4" t="str">
        <v xml:space="preserve">ST1-Program 1 @ 9A </v>
      </c>
      <c r="CR4">
        <v>7.4012238508962686E-2</v>
      </c>
      <c r="CT4" t="str">
        <v>ST4 - Program 1</v>
      </c>
      <c r="CU4">
        <v>-8.5149827045891788E-2</v>
      </c>
    </row>
    <row r="5" spans="1:99" ht="21" thickBot="1" x14ac:dyDescent="0.35">
      <c r="A5" s="4" t="s">
        <v>89</v>
      </c>
      <c r="B5" s="4" t="s">
        <v>93</v>
      </c>
      <c r="C5" s="4" t="s">
        <v>98</v>
      </c>
      <c r="D5" s="44">
        <v>0.41666666666666669</v>
      </c>
      <c r="E5" s="44">
        <v>0.47916666666666669</v>
      </c>
      <c r="F5" s="4"/>
      <c r="G5" s="5">
        <v>0.28718473</v>
      </c>
      <c r="H5" s="6">
        <v>10.73836369</v>
      </c>
      <c r="I5" s="6">
        <v>3753</v>
      </c>
      <c r="J5" s="6">
        <v>3789.3</v>
      </c>
      <c r="K5" s="5">
        <v>2.9544868200000001</v>
      </c>
      <c r="L5" s="5">
        <v>0.49247421000000002</v>
      </c>
      <c r="M5" s="6">
        <v>14.959684810000001</v>
      </c>
      <c r="N5" s="6">
        <v>5459</v>
      </c>
      <c r="O5" s="6">
        <v>3882.4</v>
      </c>
      <c r="P5" s="5">
        <v>3.4316146700000001</v>
      </c>
      <c r="Q5" s="5">
        <v>0.53967847999999996</v>
      </c>
      <c r="R5" s="6">
        <v>15.760672359999999</v>
      </c>
      <c r="S5" s="6">
        <v>3073</v>
      </c>
      <c r="T5" s="6">
        <v>1949.8</v>
      </c>
      <c r="U5" s="5">
        <v>3.42420978</v>
      </c>
      <c r="V5" s="5">
        <v>0.17475412000000001</v>
      </c>
      <c r="W5" s="6">
        <v>8.7284953400000003</v>
      </c>
      <c r="X5" s="6">
        <v>2189</v>
      </c>
      <c r="Y5" s="6">
        <v>2907.3</v>
      </c>
      <c r="Z5" s="5">
        <v>2.5021104599999999</v>
      </c>
      <c r="AA5" s="5">
        <v>0.34059085</v>
      </c>
      <c r="AB5" s="6">
        <v>11.433205259999999</v>
      </c>
      <c r="AC5" s="6">
        <v>3897</v>
      </c>
      <c r="AD5" s="6">
        <v>3408.2</v>
      </c>
      <c r="AE5" s="5">
        <v>2.9789620999999999</v>
      </c>
      <c r="AF5" s="5">
        <v>0.45006283000000002</v>
      </c>
      <c r="AG5" s="6">
        <v>13.052896069999999</v>
      </c>
      <c r="AH5" s="6">
        <v>2590</v>
      </c>
      <c r="AI5" s="6">
        <v>1984</v>
      </c>
      <c r="AJ5" s="5">
        <v>3.4479921</v>
      </c>
      <c r="AK5" s="5">
        <v>0.11439468</v>
      </c>
      <c r="AL5" s="6">
        <v>5.9955596199999999</v>
      </c>
      <c r="AM5" s="6">
        <v>1433</v>
      </c>
      <c r="AN5" s="6">
        <v>2389.4</v>
      </c>
      <c r="AO5" s="5">
        <v>1.90798998</v>
      </c>
      <c r="AP5" s="5">
        <v>0.21248550999999999</v>
      </c>
      <c r="AQ5" s="6">
        <v>8.0359718000000004</v>
      </c>
      <c r="AR5" s="6">
        <v>2431</v>
      </c>
      <c r="AS5" s="6">
        <v>3025.1</v>
      </c>
      <c r="AT5" s="5">
        <v>2.6441794199999999</v>
      </c>
      <c r="AU5" s="5">
        <v>0.29870369000000002</v>
      </c>
      <c r="AV5" s="6">
        <v>9.8730363400000005</v>
      </c>
      <c r="AW5" s="6">
        <v>1719</v>
      </c>
      <c r="AX5" s="6">
        <v>1740.9</v>
      </c>
      <c r="AY5" s="5">
        <v>3.0254491200000002</v>
      </c>
      <c r="BE5" s="37" t="s">
        <v>73</v>
      </c>
      <c r="BF5" s="38" t="str">
        <f>_xlfn.CONCAT(BG4,BG2,BH5,BG3)</f>
        <v>='Midday Programs'!AK133</v>
      </c>
      <c r="BG5" s="21"/>
      <c r="BH5" s="21" t="s">
        <v>78</v>
      </c>
      <c r="BJ5" s="4" t="s">
        <v>101</v>
      </c>
      <c r="BK5" s="5">
        <v>0.63195210000000002</v>
      </c>
      <c r="BL5">
        <f t="shared" si="0"/>
        <v>0.63195210000000002</v>
      </c>
      <c r="BM5" s="4" t="s">
        <v>111</v>
      </c>
      <c r="BN5" s="5">
        <v>0.46813652</v>
      </c>
      <c r="BO5">
        <f t="shared" si="1"/>
        <v>0.46813652</v>
      </c>
      <c r="BP5" s="4" t="s">
        <v>101</v>
      </c>
      <c r="BQ5" s="5">
        <v>0.69938374000000003</v>
      </c>
      <c r="BR5">
        <f t="shared" si="2"/>
        <v>0.69938374000000003</v>
      </c>
      <c r="BS5" t="str">
        <v xml:space="preserve">ST1-Program 1 @ 9A </v>
      </c>
      <c r="BT5">
        <v>0.20756608542694588</v>
      </c>
      <c r="BV5" t="str">
        <v>ST2-Program 4</v>
      </c>
      <c r="BW5">
        <v>0.31996709235853971</v>
      </c>
      <c r="BY5" t="str">
        <v>ST2-Program 4</v>
      </c>
      <c r="BZ5">
        <v>0.33129377124481946</v>
      </c>
      <c r="CB5" t="str">
        <v>ST2-Program 3</v>
      </c>
      <c r="CC5">
        <v>0.90471279640166402</v>
      </c>
      <c r="CE5" t="str">
        <v xml:space="preserve">ST1-Program 1 @ 9A </v>
      </c>
      <c r="CF5">
        <v>0.207435266888471</v>
      </c>
      <c r="CH5" t="str">
        <v>ST2-Program 1</v>
      </c>
      <c r="CI5">
        <v>0.66489046773238603</v>
      </c>
      <c r="CK5" t="str">
        <v>ST4 - Program 1</v>
      </c>
      <c r="CL5">
        <v>-4.9487785657998426E-2</v>
      </c>
      <c r="CN5" t="str">
        <v>ST1 -Program 5 @ 1230P</v>
      </c>
      <c r="CO5">
        <v>-9.865085031211665E-2</v>
      </c>
      <c r="CQ5" t="str">
        <v>ST4 - Program 1</v>
      </c>
      <c r="CR5">
        <v>-4.9486549058517584E-2</v>
      </c>
      <c r="CT5" t="str">
        <v>ST1 -Program 5 @ 1230P</v>
      </c>
      <c r="CU5">
        <v>-0.10866221523193528</v>
      </c>
    </row>
    <row r="6" spans="1:99" ht="20.399999999999999" x14ac:dyDescent="0.3">
      <c r="A6" s="4" t="s">
        <v>89</v>
      </c>
      <c r="B6" s="4" t="s">
        <v>93</v>
      </c>
      <c r="C6" s="4" t="s">
        <v>99</v>
      </c>
      <c r="D6" s="44">
        <v>0.47916666666666669</v>
      </c>
      <c r="E6" s="44">
        <v>0.5</v>
      </c>
      <c r="F6" s="4"/>
      <c r="G6" s="5">
        <v>0.38409863</v>
      </c>
      <c r="H6" s="6">
        <v>11.57567785</v>
      </c>
      <c r="I6" s="6">
        <v>7765</v>
      </c>
      <c r="J6" s="6">
        <v>3874.4</v>
      </c>
      <c r="K6" s="5">
        <v>3.3232752900000002</v>
      </c>
      <c r="L6" s="5">
        <v>0.62381405000000001</v>
      </c>
      <c r="M6" s="6">
        <v>13.134359099999999</v>
      </c>
      <c r="N6" s="6">
        <v>7171</v>
      </c>
      <c r="O6" s="6">
        <v>4185</v>
      </c>
      <c r="P6" s="5">
        <v>3.6990823399999999</v>
      </c>
      <c r="Q6" s="5">
        <v>0.80342608000000004</v>
      </c>
      <c r="R6" s="6">
        <v>21.017589600000001</v>
      </c>
      <c r="S6" s="6">
        <v>4575</v>
      </c>
      <c r="T6" s="6">
        <v>2176.6999999999998</v>
      </c>
      <c r="U6" s="5">
        <v>3.8226366199999999</v>
      </c>
      <c r="V6" s="5">
        <v>0.24537043</v>
      </c>
      <c r="W6" s="6">
        <v>10.865604510000001</v>
      </c>
      <c r="X6" s="6">
        <v>3073</v>
      </c>
      <c r="Y6" s="6">
        <v>2828.1</v>
      </c>
      <c r="Z6" s="5">
        <v>2.2582308499999999</v>
      </c>
      <c r="AA6" s="5">
        <v>0.44789340999999999</v>
      </c>
      <c r="AB6" s="6">
        <v>13.02064805</v>
      </c>
      <c r="AC6" s="6">
        <v>5124</v>
      </c>
      <c r="AD6" s="6">
        <v>3935.5</v>
      </c>
      <c r="AE6" s="5">
        <v>3.43987036</v>
      </c>
      <c r="AF6" s="5">
        <v>0.55851289999999998</v>
      </c>
      <c r="AG6" s="6">
        <v>14.25415933</v>
      </c>
      <c r="AH6" s="6">
        <v>3214</v>
      </c>
      <c r="AI6" s="6">
        <v>2254.6</v>
      </c>
      <c r="AJ6" s="5">
        <v>3.9182451299999999</v>
      </c>
      <c r="AK6" s="5">
        <v>0.1956252</v>
      </c>
      <c r="AL6" s="6">
        <v>8.5186302400000002</v>
      </c>
      <c r="AM6" s="6">
        <v>2450</v>
      </c>
      <c r="AN6" s="6">
        <v>2875.9</v>
      </c>
      <c r="AO6" s="5">
        <v>2.2964395999999998</v>
      </c>
      <c r="AP6" s="5">
        <v>0.33583593</v>
      </c>
      <c r="AQ6" s="6">
        <v>11.05739103</v>
      </c>
      <c r="AR6" s="6">
        <v>3842</v>
      </c>
      <c r="AS6" s="6">
        <v>3474.8</v>
      </c>
      <c r="AT6" s="5">
        <v>3.0372076899999998</v>
      </c>
      <c r="AU6" s="5">
        <v>0.45252631999999998</v>
      </c>
      <c r="AV6" s="6">
        <v>13.132650440000001</v>
      </c>
      <c r="AW6" s="6">
        <v>2604</v>
      </c>
      <c r="AX6" s="6">
        <v>1982.7</v>
      </c>
      <c r="AY6" s="5">
        <v>3.4458110199999998</v>
      </c>
      <c r="BJ6" s="4" t="s">
        <v>111</v>
      </c>
      <c r="BK6" s="5">
        <v>0.52854951999999999</v>
      </c>
      <c r="BL6">
        <f t="shared" si="0"/>
        <v>0.52854951999999999</v>
      </c>
      <c r="BM6" s="4" t="s">
        <v>101</v>
      </c>
      <c r="BN6" s="5">
        <v>0.39824635000000003</v>
      </c>
      <c r="BO6">
        <f t="shared" si="1"/>
        <v>0.39824635000000003</v>
      </c>
      <c r="BP6" s="4" t="s">
        <v>100</v>
      </c>
      <c r="BQ6" s="5">
        <v>0.59574768</v>
      </c>
      <c r="BR6">
        <f t="shared" si="2"/>
        <v>0.59574768</v>
      </c>
      <c r="BS6" t="str">
        <v>ST2-Program 4</v>
      </c>
      <c r="BT6">
        <v>0.14093030094135281</v>
      </c>
      <c r="BV6" t="str">
        <v>ST2-Program 1</v>
      </c>
      <c r="BW6">
        <v>0.2335228712092593</v>
      </c>
      <c r="BY6" t="str">
        <v>ST1 -Program 4 @ 12P</v>
      </c>
      <c r="BZ6">
        <v>0.27491517231469059</v>
      </c>
      <c r="CB6" t="str">
        <v>ST2-Program 4</v>
      </c>
      <c r="CC6">
        <v>0.88556904317432794</v>
      </c>
      <c r="CE6" t="str">
        <v>ST2-Program 4</v>
      </c>
      <c r="CF6">
        <v>0.14085281980742778</v>
      </c>
      <c r="CH6" t="str">
        <v>ST2-Program 3</v>
      </c>
      <c r="CI6">
        <v>0.61809045226130654</v>
      </c>
      <c r="CK6" t="str">
        <v>ST1-Program 2 @ 10A</v>
      </c>
      <c r="CL6">
        <v>-0.11240537527140423</v>
      </c>
      <c r="CN6" t="str">
        <v>ST2-Program 4</v>
      </c>
      <c r="CO6">
        <v>-9.865085031211665E-2</v>
      </c>
      <c r="CQ6" t="str">
        <v>ST1-Program 2 @ 10A</v>
      </c>
      <c r="CR6">
        <v>-0.11238232268883179</v>
      </c>
      <c r="CT6" t="str">
        <v>ST2-Program 4</v>
      </c>
      <c r="CU6">
        <v>-0.10866221523193528</v>
      </c>
    </row>
    <row r="7" spans="1:99" ht="21" thickBot="1" x14ac:dyDescent="0.35">
      <c r="A7" s="4" t="s">
        <v>89</v>
      </c>
      <c r="B7" s="4" t="s">
        <v>93</v>
      </c>
      <c r="C7" s="4" t="s">
        <v>100</v>
      </c>
      <c r="D7" s="44">
        <v>0.5</v>
      </c>
      <c r="E7" s="44">
        <v>0.52083333333333337</v>
      </c>
      <c r="F7" s="4"/>
      <c r="G7" s="5">
        <v>0.32146999999999998</v>
      </c>
      <c r="H7" s="6">
        <v>13.507984199999999</v>
      </c>
      <c r="I7" s="6">
        <v>4977</v>
      </c>
      <c r="J7" s="6">
        <v>3411.3</v>
      </c>
      <c r="K7" s="5">
        <v>2.4939131200000002</v>
      </c>
      <c r="L7" s="5">
        <v>0.54556539000000004</v>
      </c>
      <c r="M7" s="6">
        <v>15.75776507</v>
      </c>
      <c r="N7" s="6">
        <v>7304</v>
      </c>
      <c r="O7" s="6">
        <v>4358.3999999999996</v>
      </c>
      <c r="P7" s="5">
        <v>3.85233582</v>
      </c>
      <c r="Q7" s="5">
        <v>0.99311676000000004</v>
      </c>
      <c r="R7" s="6">
        <v>24.14284434</v>
      </c>
      <c r="S7" s="6">
        <v>5655</v>
      </c>
      <c r="T7" s="6">
        <v>2342.3000000000002</v>
      </c>
      <c r="U7" s="5">
        <v>4.1135035699999998</v>
      </c>
      <c r="V7" s="5">
        <v>0.42087913999999998</v>
      </c>
      <c r="W7" s="6">
        <v>15.83682434</v>
      </c>
      <c r="X7" s="6">
        <v>5271</v>
      </c>
      <c r="Y7" s="6">
        <v>3328.2</v>
      </c>
      <c r="Z7" s="5">
        <v>2.6575981099999999</v>
      </c>
      <c r="AA7" s="5">
        <v>0.64420869999999997</v>
      </c>
      <c r="AB7" s="6">
        <v>12.02064805</v>
      </c>
      <c r="AC7" s="6">
        <v>7370</v>
      </c>
      <c r="AD7" s="6">
        <v>4316.7</v>
      </c>
      <c r="AE7" s="5">
        <v>3.77311905</v>
      </c>
      <c r="AF7" s="5">
        <v>0.81723157999999996</v>
      </c>
      <c r="AG7" s="6">
        <v>18.32970173</v>
      </c>
      <c r="AH7" s="6">
        <v>4702</v>
      </c>
      <c r="AI7" s="6">
        <v>2565.4</v>
      </c>
      <c r="AJ7" s="5">
        <v>4.4585099499999998</v>
      </c>
      <c r="AK7" s="5">
        <v>0.27971040000000003</v>
      </c>
      <c r="AL7" s="6">
        <v>12.190296549999999</v>
      </c>
      <c r="AM7" s="6">
        <v>3503</v>
      </c>
      <c r="AN7" s="6">
        <v>2873.5</v>
      </c>
      <c r="AO7" s="5">
        <v>2.2945331499999999</v>
      </c>
      <c r="AP7" s="5">
        <v>0.46504915000000002</v>
      </c>
      <c r="AQ7" s="6">
        <v>15.325306579999999</v>
      </c>
      <c r="AR7" s="6">
        <v>5321</v>
      </c>
      <c r="AS7" s="6">
        <v>3471.7</v>
      </c>
      <c r="AT7" s="5">
        <v>3.03451775</v>
      </c>
      <c r="AU7" s="5">
        <v>0.59574768</v>
      </c>
      <c r="AV7" s="6">
        <v>16.668915640000002</v>
      </c>
      <c r="AW7" s="6">
        <v>3428</v>
      </c>
      <c r="AX7" s="6">
        <v>2056.5</v>
      </c>
      <c r="AY7" s="5">
        <v>3.5740037899999999</v>
      </c>
      <c r="BE7" s="27" t="s">
        <v>86</v>
      </c>
      <c r="BF7" s="51" t="s">
        <v>68</v>
      </c>
      <c r="BG7" s="51"/>
      <c r="BJ7" s="4" t="s">
        <v>100</v>
      </c>
      <c r="BK7" s="5">
        <v>0.46504915000000002</v>
      </c>
      <c r="BL7">
        <f t="shared" si="0"/>
        <v>0.46504915000000002</v>
      </c>
      <c r="BM7" s="4" t="s">
        <v>100</v>
      </c>
      <c r="BN7" s="5">
        <v>0.27971040000000003</v>
      </c>
      <c r="BO7">
        <f t="shared" si="1"/>
        <v>0.27971040000000003</v>
      </c>
      <c r="BP7" s="4" t="s">
        <v>111</v>
      </c>
      <c r="BQ7" s="5">
        <v>0.47984847000000003</v>
      </c>
      <c r="BR7">
        <f t="shared" si="2"/>
        <v>0.47984847000000003</v>
      </c>
      <c r="BS7" t="str">
        <v>ST2-Program 1</v>
      </c>
      <c r="BT7">
        <v>3.1603076957039594E-2</v>
      </c>
      <c r="BV7" t="str">
        <v>ST4 - Program 1</v>
      </c>
      <c r="BW7">
        <v>7.4634692492459534E-2</v>
      </c>
      <c r="BY7" t="str">
        <v>ST2-Program 1</v>
      </c>
      <c r="BZ7">
        <v>0.16221556650133581</v>
      </c>
      <c r="CB7" t="str">
        <v>ST4 - Program 1</v>
      </c>
      <c r="CC7">
        <v>0.56658358786820395</v>
      </c>
      <c r="CE7" t="str">
        <v>ST2-Program 1</v>
      </c>
      <c r="CF7">
        <v>3.1548055759354363E-2</v>
      </c>
      <c r="CH7" t="str">
        <v>ST4 - Program 1</v>
      </c>
      <c r="CI7">
        <v>0.36408752537784794</v>
      </c>
      <c r="CK7" t="str">
        <v>ST2-Program 1</v>
      </c>
      <c r="CL7">
        <v>-0.11240537527140423</v>
      </c>
      <c r="CN7" t="str">
        <v>ST3-Program 2 @ 10A</v>
      </c>
      <c r="CO7">
        <v>-9.865085031211665E-2</v>
      </c>
      <c r="CQ7" t="str">
        <v>ST2-Program 1</v>
      </c>
      <c r="CR7">
        <v>-0.11238232268883179</v>
      </c>
      <c r="CT7" t="str">
        <v>ST3-Program 2 @ 10A</v>
      </c>
      <c r="CU7">
        <v>-0.10866221523193528</v>
      </c>
    </row>
    <row r="8" spans="1:99" ht="20.399999999999999" x14ac:dyDescent="0.3">
      <c r="A8" s="4" t="s">
        <v>89</v>
      </c>
      <c r="B8" s="4" t="s">
        <v>93</v>
      </c>
      <c r="C8" s="4" t="s">
        <v>101</v>
      </c>
      <c r="D8" s="44">
        <v>0.52083333333333337</v>
      </c>
      <c r="E8" s="44">
        <v>0.54166666666666663</v>
      </c>
      <c r="F8" s="4"/>
      <c r="G8" s="5">
        <v>0.55690187999999996</v>
      </c>
      <c r="H8" s="6">
        <v>11.501864380000001</v>
      </c>
      <c r="I8" s="6">
        <v>4653</v>
      </c>
      <c r="J8" s="6">
        <v>4898.1000000000004</v>
      </c>
      <c r="K8" s="5">
        <v>3.9506423599999998</v>
      </c>
      <c r="L8" s="5">
        <v>0.70736043999999998</v>
      </c>
      <c r="M8" s="6">
        <v>16.81387651</v>
      </c>
      <c r="N8" s="6">
        <v>9021</v>
      </c>
      <c r="O8" s="6">
        <v>5462.7</v>
      </c>
      <c r="P8" s="5">
        <v>4.82842678</v>
      </c>
      <c r="Q8" s="5">
        <v>1.09584284</v>
      </c>
      <c r="R8" s="6">
        <v>21.278132029999998</v>
      </c>
      <c r="S8" s="6">
        <v>6240</v>
      </c>
      <c r="T8" s="6">
        <v>2932.6</v>
      </c>
      <c r="U8" s="5">
        <v>5.1500894800000001</v>
      </c>
      <c r="V8" s="5">
        <v>0.79895300000000002</v>
      </c>
      <c r="W8" s="6">
        <v>21.169007560000001</v>
      </c>
      <c r="X8" s="6">
        <v>9254</v>
      </c>
      <c r="Y8" s="6">
        <v>4571.6000000000004</v>
      </c>
      <c r="Z8" s="5">
        <v>3.4907304899999998</v>
      </c>
      <c r="AA8" s="5">
        <v>1.0565396300000001</v>
      </c>
      <c r="AB8" s="6">
        <v>19.038900859999998</v>
      </c>
      <c r="AC8" s="6">
        <v>12088</v>
      </c>
      <c r="AD8" s="6">
        <v>5745.4</v>
      </c>
      <c r="AE8" s="5">
        <v>5.02183855</v>
      </c>
      <c r="AF8" s="5">
        <v>1.4326850099999999</v>
      </c>
      <c r="AG8" s="6">
        <v>25.00080556</v>
      </c>
      <c r="AH8" s="6">
        <v>8244</v>
      </c>
      <c r="AI8" s="6">
        <v>3297.4</v>
      </c>
      <c r="AJ8" s="5">
        <v>5.7305553700000003</v>
      </c>
      <c r="AK8" s="5">
        <v>0.39824635000000003</v>
      </c>
      <c r="AL8" s="6">
        <v>12.26941927</v>
      </c>
      <c r="AM8" s="6">
        <v>4987</v>
      </c>
      <c r="AN8" s="6">
        <v>4064.9</v>
      </c>
      <c r="AO8" s="5">
        <v>3.2458451500000001</v>
      </c>
      <c r="AP8" s="5">
        <v>0.63195210000000002</v>
      </c>
      <c r="AQ8" s="6">
        <v>14.68372349</v>
      </c>
      <c r="AR8" s="6">
        <v>7230</v>
      </c>
      <c r="AS8" s="6">
        <v>4923.8</v>
      </c>
      <c r="AT8" s="5">
        <v>4.3037592299999998</v>
      </c>
      <c r="AU8" s="5">
        <v>0.69938374000000003</v>
      </c>
      <c r="AV8" s="6">
        <v>14.224721280000001</v>
      </c>
      <c r="AW8" s="6">
        <v>4024</v>
      </c>
      <c r="AX8" s="6">
        <v>2829.1</v>
      </c>
      <c r="AY8" s="5">
        <v>4.9166779600000003</v>
      </c>
      <c r="BE8">
        <v>24</v>
      </c>
      <c r="BG8" s="23" t="s">
        <v>45</v>
      </c>
      <c r="BJ8" s="4" t="s">
        <v>105</v>
      </c>
      <c r="BK8" s="5">
        <v>0.36247747000000002</v>
      </c>
      <c r="BL8">
        <f t="shared" si="0"/>
        <v>0.36247747000000002</v>
      </c>
      <c r="BM8" s="4" t="s">
        <v>107</v>
      </c>
      <c r="BN8" s="5">
        <v>0.27325243999999999</v>
      </c>
      <c r="BO8">
        <f t="shared" si="1"/>
        <v>0.27325243999999999</v>
      </c>
      <c r="BP8" s="4" t="s">
        <v>99</v>
      </c>
      <c r="BQ8" s="5">
        <v>0.45252631999999998</v>
      </c>
      <c r="BR8">
        <f t="shared" si="2"/>
        <v>0.45252631999999998</v>
      </c>
      <c r="BS8" t="str">
        <v>ST3-Program 1 @ 9A</v>
      </c>
      <c r="BT8">
        <v>-1.0337928794391191E-2</v>
      </c>
      <c r="BV8" t="str">
        <v>ST1 -Program 5 @ 1230P</v>
      </c>
      <c r="BW8">
        <v>-0.10660525488250371</v>
      </c>
      <c r="BY8" t="str">
        <v>ST3-Program 1 @ 9A</v>
      </c>
      <c r="BZ8">
        <v>0.12086813192249708</v>
      </c>
      <c r="CB8" t="str">
        <v>ST3-Program 2 @ 10A</v>
      </c>
      <c r="CC8">
        <v>0.37720496988052643</v>
      </c>
      <c r="CE8" t="str">
        <v>ST3-Program 1 @ 9A</v>
      </c>
      <c r="CF8">
        <v>-9.4562647754137114E-3</v>
      </c>
      <c r="CH8" t="str">
        <v>ST3-Program 1 @ 9A</v>
      </c>
      <c r="CI8">
        <v>0.36260162601626017</v>
      </c>
      <c r="CK8" t="str">
        <v>ST3-Program 4 @ 1130A</v>
      </c>
      <c r="CL8">
        <v>-0.11240537527140423</v>
      </c>
      <c r="CN8" t="str">
        <v xml:space="preserve">ST1-Program 1 @ 9A </v>
      </c>
      <c r="CO8">
        <v>-0.11320706193984746</v>
      </c>
      <c r="CQ8" t="str">
        <v>ST3-Program 4 @ 1130A</v>
      </c>
      <c r="CR8">
        <v>-0.11238232268883179</v>
      </c>
      <c r="CT8" t="str">
        <v xml:space="preserve">ST1-Program 1 @ 9A </v>
      </c>
      <c r="CU8">
        <v>-0.12306380747051192</v>
      </c>
    </row>
    <row r="9" spans="1:99" ht="21" thickBot="1" x14ac:dyDescent="0.35">
      <c r="A9" s="4" t="s">
        <v>90</v>
      </c>
      <c r="B9" s="4" t="s">
        <v>94</v>
      </c>
      <c r="C9" s="4" t="s">
        <v>102</v>
      </c>
      <c r="D9" s="44">
        <v>0.39583333333333331</v>
      </c>
      <c r="E9" s="44">
        <v>0.41666666666666669</v>
      </c>
      <c r="F9" s="4"/>
      <c r="G9" s="5">
        <v>0.17355229999999999</v>
      </c>
      <c r="H9" s="6">
        <v>0.96980851999999995</v>
      </c>
      <c r="I9" s="6">
        <v>1215</v>
      </c>
      <c r="J9" s="6">
        <v>3789.3</v>
      </c>
      <c r="K9" s="5">
        <v>3.2544868199999999</v>
      </c>
      <c r="L9" s="5">
        <v>0.19926711999999999</v>
      </c>
      <c r="M9" s="6">
        <v>4.3997634799999998</v>
      </c>
      <c r="N9" s="6">
        <v>1689</v>
      </c>
      <c r="O9" s="6">
        <v>3882.4</v>
      </c>
      <c r="P9" s="5">
        <v>3.4316146700000001</v>
      </c>
      <c r="Q9" s="5">
        <v>0.16380502</v>
      </c>
      <c r="R9" s="6">
        <v>4.7837319799999998</v>
      </c>
      <c r="S9" s="6">
        <v>933</v>
      </c>
      <c r="T9" s="6">
        <v>1949.8</v>
      </c>
      <c r="U9" s="5">
        <v>3.42420978</v>
      </c>
      <c r="V9" s="5">
        <v>9.404063E-2</v>
      </c>
      <c r="W9" s="6">
        <v>4.6970751499999999</v>
      </c>
      <c r="X9" s="6">
        <v>1178</v>
      </c>
      <c r="Y9" s="6">
        <v>2507.3000000000002</v>
      </c>
      <c r="Z9" s="5">
        <v>2.0021104599999999</v>
      </c>
      <c r="AA9" s="5">
        <v>0.23827047000000001</v>
      </c>
      <c r="AB9" s="6">
        <v>7.9984390400000001</v>
      </c>
      <c r="AC9" s="6">
        <v>2726</v>
      </c>
      <c r="AD9" s="6">
        <v>3408.2</v>
      </c>
      <c r="AE9" s="5">
        <v>2.9789620999999999</v>
      </c>
      <c r="AF9" s="5">
        <v>0.22470772999999999</v>
      </c>
      <c r="AG9" s="6">
        <v>6.5170603600000003</v>
      </c>
      <c r="AH9" s="6">
        <v>1293</v>
      </c>
      <c r="AI9" s="6">
        <v>1984</v>
      </c>
      <c r="AJ9" s="5">
        <v>3.4479921</v>
      </c>
      <c r="AK9" s="5">
        <v>5.6808060000000001E-2</v>
      </c>
      <c r="AL9" s="6">
        <v>2.9773774999999998</v>
      </c>
      <c r="AM9" s="6">
        <v>711</v>
      </c>
      <c r="AN9" s="6">
        <v>2389.4</v>
      </c>
      <c r="AO9" s="5">
        <v>1.90798998</v>
      </c>
      <c r="AP9" s="5">
        <v>0.24580055000000001</v>
      </c>
      <c r="AQ9" s="6">
        <v>9.2959103600000006</v>
      </c>
      <c r="AR9" s="6">
        <v>2812</v>
      </c>
      <c r="AS9" s="6">
        <v>3025.1</v>
      </c>
      <c r="AT9" s="5">
        <v>2.6441794199999999</v>
      </c>
      <c r="AU9" s="5">
        <v>0.20512145000000001</v>
      </c>
      <c r="AV9" s="6">
        <v>6.7798679100000001</v>
      </c>
      <c r="AW9" s="6">
        <v>1180</v>
      </c>
      <c r="AX9" s="6">
        <v>1740.9</v>
      </c>
      <c r="AY9" s="5">
        <v>3.0254491200000002</v>
      </c>
      <c r="BE9" t="s">
        <v>87</v>
      </c>
      <c r="BG9" s="24" t="s">
        <v>11</v>
      </c>
      <c r="BJ9" s="4" t="s">
        <v>107</v>
      </c>
      <c r="BK9" s="5">
        <v>0.3431322</v>
      </c>
      <c r="BL9">
        <f t="shared" si="0"/>
        <v>0.3431322</v>
      </c>
      <c r="BM9" s="4" t="s">
        <v>99</v>
      </c>
      <c r="BN9" s="5">
        <v>0.1956252</v>
      </c>
      <c r="BO9">
        <f t="shared" si="1"/>
        <v>0.1956252</v>
      </c>
      <c r="BP9" s="4" t="s">
        <v>107</v>
      </c>
      <c r="BQ9" s="5">
        <v>0.40919581999999999</v>
      </c>
      <c r="BR9">
        <f t="shared" si="2"/>
        <v>0.40919581999999999</v>
      </c>
      <c r="BS9" t="str">
        <v>ST4 - Program 1</v>
      </c>
      <c r="BT9">
        <v>-0.19835366217571915</v>
      </c>
      <c r="BV9" t="str">
        <v>ST1 -Program 4 @ 12P</v>
      </c>
      <c r="BW9">
        <v>-0.14758311556383738</v>
      </c>
      <c r="BY9" t="str">
        <v xml:space="preserve">ST1-Program 1 @ 9A </v>
      </c>
      <c r="BZ9">
        <v>0.10384254552534126</v>
      </c>
      <c r="CB9" t="str">
        <v>ST3-Program 4 @ 1130A</v>
      </c>
      <c r="CC9">
        <v>0.14133980640614541</v>
      </c>
      <c r="CE9" t="str">
        <v>ST4 - Program 1</v>
      </c>
      <c r="CF9">
        <v>-0.19832957709134297</v>
      </c>
      <c r="CH9" t="str">
        <v>ST3-Program 4 @ 1130A</v>
      </c>
      <c r="CI9">
        <v>-8.8235294117647058E-3</v>
      </c>
      <c r="CK9" t="str">
        <v>ST1-Program 3 @ 1130A</v>
      </c>
      <c r="CL9">
        <v>-0.11706263498920082</v>
      </c>
      <c r="CN9" t="str">
        <v>ST4 - Program 2</v>
      </c>
      <c r="CO9">
        <v>-0.13736850756081515</v>
      </c>
      <c r="CQ9" t="str">
        <v>ST1-Program 3 @ 1130A</v>
      </c>
      <c r="CR9">
        <v>-0.11705751317907231</v>
      </c>
      <c r="CT9" t="str">
        <v>ST4 - Program 2</v>
      </c>
      <c r="CU9">
        <v>-0.14696582440993672</v>
      </c>
    </row>
    <row r="10" spans="1:99" ht="15" thickBot="1" x14ac:dyDescent="0.35">
      <c r="A10" s="4" t="s">
        <v>90</v>
      </c>
      <c r="B10" s="4" t="s">
        <v>94</v>
      </c>
      <c r="C10" s="4" t="s">
        <v>103</v>
      </c>
      <c r="D10" s="44">
        <v>0.41666666666666669</v>
      </c>
      <c r="E10" s="44">
        <v>0.45833333333333331</v>
      </c>
      <c r="F10" s="4"/>
      <c r="G10" s="5">
        <v>0.21179566</v>
      </c>
      <c r="H10" s="6">
        <v>12.59324765</v>
      </c>
      <c r="I10" s="6">
        <v>1583</v>
      </c>
      <c r="J10" s="6">
        <v>2011.3</v>
      </c>
      <c r="K10" s="5">
        <v>2.9339131200000002</v>
      </c>
      <c r="L10" s="5">
        <v>0.26882983999999999</v>
      </c>
      <c r="M10" s="6">
        <v>4.8825318199999996</v>
      </c>
      <c r="N10" s="6">
        <v>1910</v>
      </c>
      <c r="O10" s="6">
        <v>4358.3999999999996</v>
      </c>
      <c r="P10" s="5">
        <v>3.85233582</v>
      </c>
      <c r="Q10" s="5">
        <v>0.24320062000000001</v>
      </c>
      <c r="R10" s="6">
        <v>5.9122501400000003</v>
      </c>
      <c r="S10" s="6">
        <v>1385</v>
      </c>
      <c r="T10" s="6">
        <v>2342.3000000000002</v>
      </c>
      <c r="U10" s="5">
        <v>4.1135035699999998</v>
      </c>
      <c r="V10" s="5">
        <v>0.18401215000000001</v>
      </c>
      <c r="W10" s="6">
        <v>6.1714429099999997</v>
      </c>
      <c r="X10" s="6">
        <v>2054</v>
      </c>
      <c r="Y10" s="6">
        <v>3328.2</v>
      </c>
      <c r="Z10" s="5">
        <v>2.6575981099999999</v>
      </c>
      <c r="AA10" s="5">
        <v>0.34289183000000001</v>
      </c>
      <c r="AB10" s="6">
        <v>9.0877554099999998</v>
      </c>
      <c r="AC10" s="6">
        <v>3923</v>
      </c>
      <c r="AD10" s="6">
        <v>4316.7</v>
      </c>
      <c r="AE10" s="5">
        <v>3.77311905</v>
      </c>
      <c r="AF10" s="5">
        <v>0.32624091</v>
      </c>
      <c r="AG10" s="6">
        <v>7.3172633200000003</v>
      </c>
      <c r="AH10" s="6">
        <v>1877</v>
      </c>
      <c r="AI10" s="6">
        <v>2565.4</v>
      </c>
      <c r="AJ10" s="5">
        <v>4.4585099499999998</v>
      </c>
      <c r="AK10" s="5">
        <v>6.3681249999999995E-2</v>
      </c>
      <c r="AL10" s="6">
        <v>2.77534657</v>
      </c>
      <c r="AM10" s="6">
        <v>798</v>
      </c>
      <c r="AN10" s="6">
        <v>2873.5</v>
      </c>
      <c r="AO10" s="5">
        <v>2.2945331499999999</v>
      </c>
      <c r="AP10" s="5">
        <v>0.15577827999999999</v>
      </c>
      <c r="AQ10" s="6">
        <v>5.1335431199999997</v>
      </c>
      <c r="AR10" s="6">
        <v>1782</v>
      </c>
      <c r="AS10" s="6">
        <v>3471.7</v>
      </c>
      <c r="AT10" s="5">
        <v>3.03451775</v>
      </c>
      <c r="AU10" s="5">
        <v>0.14332563000000001</v>
      </c>
      <c r="AV10" s="6">
        <v>4.0102261500000003</v>
      </c>
      <c r="AW10" s="6">
        <v>825</v>
      </c>
      <c r="AX10" s="6">
        <v>2056.5</v>
      </c>
      <c r="AY10" s="5">
        <v>3.5740037899999999</v>
      </c>
      <c r="BE10">
        <v>72</v>
      </c>
      <c r="BJ10" s="4" t="s">
        <v>99</v>
      </c>
      <c r="BK10" s="5">
        <v>0.33583593</v>
      </c>
      <c r="BL10">
        <f t="shared" si="0"/>
        <v>0.33583593</v>
      </c>
      <c r="BM10" s="4" t="s">
        <v>105</v>
      </c>
      <c r="BN10" s="5">
        <v>0.19307994000000001</v>
      </c>
      <c r="BO10">
        <f t="shared" si="1"/>
        <v>0.19307994000000001</v>
      </c>
      <c r="BP10" s="4" t="s">
        <v>112</v>
      </c>
      <c r="BQ10" s="5">
        <v>0.31168154999999997</v>
      </c>
      <c r="BR10">
        <f t="shared" si="2"/>
        <v>0.31168154999999997</v>
      </c>
      <c r="BS10" t="str">
        <v>ST1-Program 3 @ 1130A</v>
      </c>
      <c r="BT10">
        <v>-0.25018782928732974</v>
      </c>
      <c r="BV10" t="str">
        <v xml:space="preserve">ST1-Program 1 @ 9A </v>
      </c>
      <c r="BW10">
        <v>-0.15349369993861217</v>
      </c>
      <c r="BY10" t="str">
        <v>ST1-Program 3 @ 1130A</v>
      </c>
      <c r="BZ10">
        <v>-0.15078028470326407</v>
      </c>
      <c r="CB10" t="str">
        <v>ST2-Program 2</v>
      </c>
      <c r="CC10">
        <v>5.1410069458594963E-2</v>
      </c>
      <c r="CE10" t="str">
        <v>ST1-Program 3 @ 1130A</v>
      </c>
      <c r="CF10">
        <v>-0.25019516003122561</v>
      </c>
      <c r="CH10" t="str">
        <v xml:space="preserve">ST1-Program 1 @ 9A </v>
      </c>
      <c r="CI10">
        <v>-3.1670533642691415E-2</v>
      </c>
      <c r="CK10" t="str">
        <v>ST2-Program 3</v>
      </c>
      <c r="CL10">
        <v>-0.11706263498920082</v>
      </c>
      <c r="CN10" t="str">
        <v>ST1-Program 3 @ 1130A</v>
      </c>
      <c r="CO10">
        <v>-0.16970131421744319</v>
      </c>
      <c r="CQ10" t="str">
        <v>ST2-Program 3</v>
      </c>
      <c r="CR10">
        <v>-0.11705751317907231</v>
      </c>
      <c r="CT10" t="str">
        <v>ST1-Program 3 @ 1130A</v>
      </c>
      <c r="CU10">
        <v>-0.17892941793774728</v>
      </c>
    </row>
    <row r="11" spans="1:99" x14ac:dyDescent="0.3">
      <c r="A11" s="4" t="s">
        <v>90</v>
      </c>
      <c r="B11" s="4" t="s">
        <v>94</v>
      </c>
      <c r="C11" s="4" t="s">
        <v>104</v>
      </c>
      <c r="D11" s="44">
        <v>0.45833333333333331</v>
      </c>
      <c r="E11" s="44">
        <v>0.5</v>
      </c>
      <c r="F11" s="4"/>
      <c r="G11" s="5">
        <v>8.6884790000000003E-2</v>
      </c>
      <c r="H11" s="6">
        <v>2.91804701</v>
      </c>
      <c r="I11" s="6">
        <v>980</v>
      </c>
      <c r="J11" s="6">
        <v>2574.4</v>
      </c>
      <c r="K11" s="5">
        <v>2.8232752900000002</v>
      </c>
      <c r="L11" s="5">
        <v>0.35828281000000001</v>
      </c>
      <c r="M11" s="6">
        <v>4.37897508</v>
      </c>
      <c r="N11" s="6">
        <v>1791</v>
      </c>
      <c r="O11" s="6">
        <v>4185</v>
      </c>
      <c r="P11" s="5">
        <v>3.6990823399999999</v>
      </c>
      <c r="Q11" s="5">
        <v>0.20916202</v>
      </c>
      <c r="R11" s="6">
        <v>5.4716688600000003</v>
      </c>
      <c r="S11" s="6">
        <v>1191</v>
      </c>
      <c r="T11" s="6">
        <v>2176.6999999999998</v>
      </c>
      <c r="U11" s="5">
        <v>3.8226366199999999</v>
      </c>
      <c r="V11" s="5">
        <v>0.14977470000000001</v>
      </c>
      <c r="W11" s="6">
        <v>6.63239102</v>
      </c>
      <c r="X11" s="6">
        <v>1876</v>
      </c>
      <c r="Y11" s="6">
        <v>2828.1</v>
      </c>
      <c r="Z11" s="5">
        <v>2.2582308499999999</v>
      </c>
      <c r="AA11" s="5">
        <v>0.38075857000000002</v>
      </c>
      <c r="AB11" s="6">
        <v>11.06898015</v>
      </c>
      <c r="AC11" s="6">
        <v>4356</v>
      </c>
      <c r="AD11" s="6">
        <v>3935.5</v>
      </c>
      <c r="AE11" s="5">
        <v>3.43987036</v>
      </c>
      <c r="AF11" s="5">
        <v>0.33205857</v>
      </c>
      <c r="AG11" s="6">
        <v>8.4746758799999995</v>
      </c>
      <c r="AH11" s="6">
        <v>1911</v>
      </c>
      <c r="AI11" s="6">
        <v>2254.6</v>
      </c>
      <c r="AJ11" s="5">
        <v>3.9182451299999999</v>
      </c>
      <c r="AK11" s="5">
        <v>0.13844182999999999</v>
      </c>
      <c r="AL11" s="6">
        <v>6.0285423400000004</v>
      </c>
      <c r="AM11" s="6">
        <v>1734</v>
      </c>
      <c r="AN11" s="6">
        <v>2875.9</v>
      </c>
      <c r="AO11" s="5">
        <v>2.2964395999999998</v>
      </c>
      <c r="AP11" s="5">
        <v>0.25332407000000001</v>
      </c>
      <c r="AQ11" s="6">
        <v>8.3406898700000003</v>
      </c>
      <c r="AR11" s="6">
        <v>2898</v>
      </c>
      <c r="AS11" s="6">
        <v>3474.8</v>
      </c>
      <c r="AT11" s="5">
        <v>3.0372076899999998</v>
      </c>
      <c r="AU11" s="5">
        <v>0.19210448999999999</v>
      </c>
      <c r="AV11" s="6">
        <v>5.5750152599999998</v>
      </c>
      <c r="AW11" s="6">
        <v>1105</v>
      </c>
      <c r="AX11" s="6">
        <v>1982.7</v>
      </c>
      <c r="AY11" s="5">
        <v>3.4458110199999998</v>
      </c>
      <c r="BF11" s="23" t="s">
        <v>45</v>
      </c>
      <c r="BG11" s="23" t="s">
        <v>45</v>
      </c>
      <c r="BJ11" s="4" t="s">
        <v>112</v>
      </c>
      <c r="BK11" s="5">
        <v>0.27576682000000002</v>
      </c>
      <c r="BL11">
        <f t="shared" si="0"/>
        <v>0.27576682000000002</v>
      </c>
      <c r="BM11" s="4" t="s">
        <v>112</v>
      </c>
      <c r="BN11" s="5">
        <v>0.18436918999999999</v>
      </c>
      <c r="BO11">
        <f t="shared" si="1"/>
        <v>0.18436918999999999</v>
      </c>
      <c r="BP11" s="4" t="s">
        <v>105</v>
      </c>
      <c r="BQ11" s="5">
        <v>0.31075176999999998</v>
      </c>
      <c r="BR11">
        <f t="shared" si="2"/>
        <v>0.31075176999999998</v>
      </c>
      <c r="BS11" t="str">
        <v>ST1 -Program 4 @ 12P</v>
      </c>
      <c r="BT11">
        <v>-0.27810793303474474</v>
      </c>
      <c r="BV11" t="str">
        <v>ST3-Program 2 @ 10A</v>
      </c>
      <c r="BW11">
        <v>-0.27927557420026</v>
      </c>
      <c r="BY11" t="str">
        <v>ST4 - Program 1</v>
      </c>
      <c r="BZ11">
        <v>-0.15661757506268598</v>
      </c>
      <c r="CB11" t="str">
        <v>ST4 - Program 2</v>
      </c>
      <c r="CC11">
        <v>2.3391884249507177E-2</v>
      </c>
      <c r="CE11" t="str">
        <v>ST1 -Program 4 @ 12P</v>
      </c>
      <c r="CF11">
        <v>-0.27801899592944368</v>
      </c>
      <c r="CH11" t="str">
        <v>ST2-Program 2</v>
      </c>
      <c r="CI11">
        <v>-6.7015706806282729E-2</v>
      </c>
      <c r="CK11" t="str">
        <v>ST3-Program 1 @ 9A</v>
      </c>
      <c r="CL11">
        <v>-0.11706263498920082</v>
      </c>
      <c r="CN11" t="str">
        <v>ST2-Program 3</v>
      </c>
      <c r="CO11">
        <v>-0.16970131421744319</v>
      </c>
      <c r="CQ11" t="str">
        <v>ST3-Program 1 @ 9A</v>
      </c>
      <c r="CR11">
        <v>-0.11705751317907231</v>
      </c>
      <c r="CT11" t="str">
        <v>ST2-Program 3</v>
      </c>
      <c r="CU11">
        <v>-0.17892941793774728</v>
      </c>
    </row>
    <row r="12" spans="1:99" ht="21" thickBot="1" x14ac:dyDescent="0.35">
      <c r="A12" s="4" t="s">
        <v>90</v>
      </c>
      <c r="B12" s="4" t="s">
        <v>94</v>
      </c>
      <c r="C12" s="4" t="s">
        <v>105</v>
      </c>
      <c r="D12" s="44">
        <v>0.5</v>
      </c>
      <c r="E12" s="44">
        <v>0.54166666666666663</v>
      </c>
      <c r="F12" s="4"/>
      <c r="G12" s="5">
        <v>0.19507853999999999</v>
      </c>
      <c r="H12" s="6">
        <v>7.6047289899999999</v>
      </c>
      <c r="I12" s="6">
        <v>2795</v>
      </c>
      <c r="J12" s="6">
        <v>3398.1</v>
      </c>
      <c r="K12" s="5">
        <v>2.15064236</v>
      </c>
      <c r="L12" s="5">
        <v>0.27461099</v>
      </c>
      <c r="M12" s="6">
        <v>4.46673937</v>
      </c>
      <c r="N12" s="6">
        <v>2428</v>
      </c>
      <c r="O12" s="6">
        <v>5462.7</v>
      </c>
      <c r="P12" s="5">
        <v>4.82842678</v>
      </c>
      <c r="Q12" s="5">
        <v>0.27986028000000002</v>
      </c>
      <c r="R12" s="6">
        <v>5.4340857900000001</v>
      </c>
      <c r="S12" s="6">
        <v>1594</v>
      </c>
      <c r="T12" s="6">
        <v>2932.6</v>
      </c>
      <c r="U12" s="5">
        <v>5.1500894800000001</v>
      </c>
      <c r="V12" s="5">
        <v>0.20470826</v>
      </c>
      <c r="W12" s="6">
        <v>5.86433874</v>
      </c>
      <c r="X12" s="6">
        <v>2564</v>
      </c>
      <c r="Y12" s="6">
        <v>4371.6000000000004</v>
      </c>
      <c r="Z12" s="5">
        <v>3.4907304899999998</v>
      </c>
      <c r="AA12" s="5">
        <v>0.31770343000000001</v>
      </c>
      <c r="AB12" s="6">
        <v>6.3264364799999999</v>
      </c>
      <c r="AC12" s="6">
        <v>3635</v>
      </c>
      <c r="AD12" s="6">
        <v>5745.4</v>
      </c>
      <c r="AE12" s="5">
        <v>5.02183855</v>
      </c>
      <c r="AF12" s="5">
        <v>0.28470263000000001</v>
      </c>
      <c r="AG12" s="6">
        <v>4.9681508399999998</v>
      </c>
      <c r="AH12" s="6">
        <v>1638</v>
      </c>
      <c r="AI12" s="6">
        <v>3297.4</v>
      </c>
      <c r="AJ12" s="5">
        <v>5.7305553700000003</v>
      </c>
      <c r="AK12" s="5">
        <v>0.19307994000000001</v>
      </c>
      <c r="AL12" s="6">
        <v>5.9485260599999998</v>
      </c>
      <c r="AM12" s="6">
        <v>2418</v>
      </c>
      <c r="AN12" s="6">
        <v>4064.9</v>
      </c>
      <c r="AO12" s="5">
        <v>3.2458451500000001</v>
      </c>
      <c r="AP12" s="5">
        <v>0.36247747000000002</v>
      </c>
      <c r="AQ12" s="6">
        <v>8.4223454800000006</v>
      </c>
      <c r="AR12" s="6">
        <v>4147</v>
      </c>
      <c r="AS12" s="6">
        <v>4923.8</v>
      </c>
      <c r="AT12" s="5">
        <v>4.3037592299999998</v>
      </c>
      <c r="AU12" s="5">
        <v>0.31075176999999998</v>
      </c>
      <c r="AV12" s="6">
        <v>6.32036044</v>
      </c>
      <c r="AW12" s="6">
        <v>1788</v>
      </c>
      <c r="AX12" s="6">
        <v>2829.1</v>
      </c>
      <c r="AY12" s="5">
        <v>4.9166779600000003</v>
      </c>
      <c r="BF12" s="24" t="s">
        <v>10</v>
      </c>
      <c r="BG12" s="24" t="s">
        <v>12</v>
      </c>
      <c r="BJ12" s="4" t="s">
        <v>104</v>
      </c>
      <c r="BK12" s="5">
        <v>0.25332407000000001</v>
      </c>
      <c r="BL12">
        <f t="shared" si="0"/>
        <v>0.25332407000000001</v>
      </c>
      <c r="BM12" s="4" t="s">
        <v>104</v>
      </c>
      <c r="BN12" s="5">
        <v>0.13844182999999999</v>
      </c>
      <c r="BO12">
        <f t="shared" si="1"/>
        <v>0.13844182999999999</v>
      </c>
      <c r="BP12" s="4" t="s">
        <v>98</v>
      </c>
      <c r="BQ12" s="5">
        <v>0.29870369000000002</v>
      </c>
      <c r="BR12">
        <f t="shared" si="2"/>
        <v>0.29870369000000002</v>
      </c>
      <c r="BS12" t="str">
        <v>ST3-Program 2 @ 10A</v>
      </c>
      <c r="BT12">
        <v>-0.27833577595116349</v>
      </c>
      <c r="BV12" t="str">
        <v>ST2-Program 3</v>
      </c>
      <c r="BW12">
        <v>-0.29294941613302627</v>
      </c>
      <c r="BY12" t="str">
        <v>ST3-Program 2 @ 10A</v>
      </c>
      <c r="BZ12">
        <v>-0.15792659317809815</v>
      </c>
      <c r="CB12" t="str">
        <v xml:space="preserve">ST1-Program 1 @ 9A </v>
      </c>
      <c r="CC12">
        <v>1.6274132628177676E-3</v>
      </c>
      <c r="CE12" t="str">
        <v>ST3-Program 2 @ 10A</v>
      </c>
      <c r="CF12">
        <v>-0.27830882352941178</v>
      </c>
      <c r="CH12" t="str">
        <v>ST3-Program 2 @ 10A</v>
      </c>
      <c r="CI12">
        <v>-7.7320799059929501E-2</v>
      </c>
      <c r="CK12" t="str">
        <v>ST1 -Program 5 @ 1230P</v>
      </c>
      <c r="CL12">
        <v>-0.14300135760782531</v>
      </c>
      <c r="CN12" t="str">
        <v>ST3-Program 1 @ 9A</v>
      </c>
      <c r="CO12">
        <v>-0.16970131421744319</v>
      </c>
      <c r="CQ12" t="str">
        <v>ST1 -Program 5 @ 1230P</v>
      </c>
      <c r="CR12">
        <v>-0.14299131938441154</v>
      </c>
      <c r="CT12" t="str">
        <v>ST3-Program 1 @ 9A</v>
      </c>
      <c r="CU12">
        <v>-0.17892941793774728</v>
      </c>
    </row>
    <row r="13" spans="1:99" ht="21" thickBot="1" x14ac:dyDescent="0.35">
      <c r="A13" s="4" t="s">
        <v>91</v>
      </c>
      <c r="B13" s="4" t="s">
        <v>95</v>
      </c>
      <c r="C13" s="4" t="s">
        <v>106</v>
      </c>
      <c r="D13" s="44">
        <v>0.375</v>
      </c>
      <c r="E13" s="44">
        <v>0.41666666666666669</v>
      </c>
      <c r="F13" s="4"/>
      <c r="G13" s="5">
        <v>0.24151797999999999</v>
      </c>
      <c r="H13" s="6">
        <v>8.78704529</v>
      </c>
      <c r="I13" s="6">
        <v>914</v>
      </c>
      <c r="J13" s="6">
        <v>3874.4</v>
      </c>
      <c r="K13" s="5">
        <v>2.9232752899999999</v>
      </c>
      <c r="L13" s="5">
        <v>0.35438803000000002</v>
      </c>
      <c r="M13" s="6">
        <v>4.4703115100000002</v>
      </c>
      <c r="N13" s="6">
        <v>615</v>
      </c>
      <c r="O13" s="6">
        <v>4185</v>
      </c>
      <c r="P13" s="5">
        <v>3.6990823399999999</v>
      </c>
      <c r="Q13" s="5">
        <v>5.6214409999999999E-2</v>
      </c>
      <c r="R13" s="6">
        <v>1.4705662799999999</v>
      </c>
      <c r="S13" s="6">
        <v>320</v>
      </c>
      <c r="T13" s="6">
        <v>2176.6999999999998</v>
      </c>
      <c r="U13" s="5">
        <v>3.8226366199999999</v>
      </c>
      <c r="V13" s="5">
        <v>5.0589660000000002E-2</v>
      </c>
      <c r="W13" s="6">
        <v>2.2402342200000001</v>
      </c>
      <c r="X13" s="6">
        <v>634</v>
      </c>
      <c r="Y13" s="6">
        <v>2828.1</v>
      </c>
      <c r="Z13" s="5">
        <v>2.2582308499999999</v>
      </c>
      <c r="AA13" s="5">
        <v>7.3980969999999993E-2</v>
      </c>
      <c r="AB13" s="6">
        <v>2.1506906400000001</v>
      </c>
      <c r="AC13" s="6">
        <v>846</v>
      </c>
      <c r="AD13" s="6">
        <v>3935.5</v>
      </c>
      <c r="AE13" s="5">
        <v>3.43987036</v>
      </c>
      <c r="AF13" s="5">
        <v>6.7431000000000005E-2</v>
      </c>
      <c r="AG13" s="6">
        <v>1.72094901</v>
      </c>
      <c r="AH13" s="6">
        <v>388</v>
      </c>
      <c r="AI13" s="6">
        <v>2254.6</v>
      </c>
      <c r="AJ13" s="5">
        <v>3.9182451299999999</v>
      </c>
      <c r="AK13" s="5">
        <v>5.149397E-2</v>
      </c>
      <c r="AL13" s="6">
        <v>2.2423395799999999</v>
      </c>
      <c r="AM13" s="6">
        <v>645</v>
      </c>
      <c r="AN13" s="6">
        <v>2875.9</v>
      </c>
      <c r="AO13" s="5">
        <v>2.2964395999999998</v>
      </c>
      <c r="AP13" s="5">
        <v>7.3216160000000002E-2</v>
      </c>
      <c r="AQ13" s="6">
        <v>2.4106405999999998</v>
      </c>
      <c r="AR13" s="6">
        <v>838</v>
      </c>
      <c r="AS13" s="6">
        <v>3474.8</v>
      </c>
      <c r="AT13" s="5">
        <v>3.0372076899999998</v>
      </c>
      <c r="AU13" s="5">
        <v>0.10284965</v>
      </c>
      <c r="AV13" s="6">
        <v>2.9847735200000001</v>
      </c>
      <c r="AW13" s="6">
        <v>592</v>
      </c>
      <c r="AX13" s="6">
        <v>1982.7</v>
      </c>
      <c r="AY13" s="5">
        <v>3.4458110199999998</v>
      </c>
      <c r="BJ13" s="4" t="s">
        <v>102</v>
      </c>
      <c r="BK13" s="5">
        <v>0.24580055000000001</v>
      </c>
      <c r="BL13">
        <f t="shared" si="0"/>
        <v>0.24580055000000001</v>
      </c>
      <c r="BM13" s="4" t="s">
        <v>98</v>
      </c>
      <c r="BN13" s="5">
        <v>0.11439468</v>
      </c>
      <c r="BO13">
        <f t="shared" si="1"/>
        <v>0.11439468</v>
      </c>
      <c r="BP13" s="4" t="s">
        <v>102</v>
      </c>
      <c r="BQ13" s="5">
        <v>0.20512145000000001</v>
      </c>
      <c r="BR13">
        <f t="shared" si="2"/>
        <v>0.20512145000000001</v>
      </c>
      <c r="BS13" t="str">
        <v>ST4 - Program 2</v>
      </c>
      <c r="BT13">
        <v>-0.32344497147503942</v>
      </c>
      <c r="BV13" t="str">
        <v>ST2-Program 2</v>
      </c>
      <c r="BW13">
        <v>-0.42053203617574597</v>
      </c>
      <c r="BY13" t="str">
        <v>ST4 - Program 2</v>
      </c>
      <c r="BZ13">
        <v>-0.2046535568234682</v>
      </c>
      <c r="CB13" t="str">
        <v>ST1 -Program 4 @ 12P</v>
      </c>
      <c r="CC13">
        <v>-2.7444151380535853E-2</v>
      </c>
      <c r="CE13" t="str">
        <v>ST4 - Program 2</v>
      </c>
      <c r="CF13">
        <v>-0.32339695475016084</v>
      </c>
      <c r="CH13" t="str">
        <v>ST4 - Program 2</v>
      </c>
      <c r="CI13">
        <v>-9.2347525891829693E-2</v>
      </c>
      <c r="CK13" t="str">
        <v>ST2-Program 4</v>
      </c>
      <c r="CL13">
        <v>-0.14300135760782531</v>
      </c>
      <c r="CN13" t="str">
        <v>ST1 -Program 4 @ 12P</v>
      </c>
      <c r="CO13">
        <v>-0.20344621879588837</v>
      </c>
      <c r="CQ13" t="str">
        <v>ST2-Program 4</v>
      </c>
      <c r="CR13">
        <v>-0.14299131938441154</v>
      </c>
      <c r="CT13" t="str">
        <v>ST1 -Program 4 @ 12P</v>
      </c>
      <c r="CU13">
        <v>-0.21229147930306863</v>
      </c>
    </row>
    <row r="14" spans="1:99" ht="20.399999999999999" x14ac:dyDescent="0.3">
      <c r="A14" s="4" t="s">
        <v>91</v>
      </c>
      <c r="B14" s="4" t="s">
        <v>95</v>
      </c>
      <c r="C14" s="4" t="s">
        <v>107</v>
      </c>
      <c r="D14" s="44">
        <v>0.41666666666666669</v>
      </c>
      <c r="E14" s="44">
        <v>0.45833333333333331</v>
      </c>
      <c r="F14" s="4"/>
      <c r="G14" s="5">
        <v>0.288082</v>
      </c>
      <c r="H14" s="6">
        <v>9.5340363299999993</v>
      </c>
      <c r="I14" s="6">
        <v>4961</v>
      </c>
      <c r="J14" s="6">
        <v>2898.1</v>
      </c>
      <c r="K14" s="5">
        <v>3.1606423600000002</v>
      </c>
      <c r="L14" s="5">
        <v>0.47609348000000001</v>
      </c>
      <c r="M14" s="6">
        <v>5.78915164</v>
      </c>
      <c r="N14" s="6">
        <v>4255</v>
      </c>
      <c r="O14" s="6">
        <v>5462.7</v>
      </c>
      <c r="P14" s="5">
        <v>4.82842678</v>
      </c>
      <c r="Q14" s="5">
        <v>0.43063905000000002</v>
      </c>
      <c r="R14" s="6">
        <v>8.3617779399999996</v>
      </c>
      <c r="S14" s="6">
        <v>2452</v>
      </c>
      <c r="T14" s="6">
        <v>2932.6</v>
      </c>
      <c r="U14" s="5">
        <v>5.1500894800000001</v>
      </c>
      <c r="V14" s="5">
        <v>0.36824129999999999</v>
      </c>
      <c r="W14" s="6">
        <v>10.54911873</v>
      </c>
      <c r="X14" s="6">
        <v>4612</v>
      </c>
      <c r="Y14" s="6">
        <v>3371.6</v>
      </c>
      <c r="Z14" s="5">
        <v>3.4907304899999998</v>
      </c>
      <c r="AA14" s="5">
        <v>0.47547348</v>
      </c>
      <c r="AB14" s="6">
        <v>9.4681156600000005</v>
      </c>
      <c r="AC14" s="6">
        <v>5440</v>
      </c>
      <c r="AD14" s="6">
        <v>5745.4</v>
      </c>
      <c r="AE14" s="5">
        <v>5.02183855</v>
      </c>
      <c r="AF14" s="5">
        <v>0.60692027999999998</v>
      </c>
      <c r="AG14" s="6">
        <v>10.59095046</v>
      </c>
      <c r="AH14" s="6">
        <v>3492</v>
      </c>
      <c r="AI14" s="6">
        <v>3297.4</v>
      </c>
      <c r="AJ14" s="5">
        <v>5.7305553700000003</v>
      </c>
      <c r="AK14" s="5">
        <v>0.27325243999999999</v>
      </c>
      <c r="AL14" s="6">
        <v>8.4185297299999995</v>
      </c>
      <c r="AM14" s="6">
        <v>3422</v>
      </c>
      <c r="AN14" s="6">
        <v>4064.9</v>
      </c>
      <c r="AO14" s="5">
        <v>3.2458451500000001</v>
      </c>
      <c r="AP14" s="5">
        <v>0.3431322</v>
      </c>
      <c r="AQ14" s="6">
        <v>7.9728484100000001</v>
      </c>
      <c r="AR14" s="6">
        <v>3926</v>
      </c>
      <c r="AS14" s="6">
        <v>4923.8</v>
      </c>
      <c r="AT14" s="5">
        <v>4.3037592299999998</v>
      </c>
      <c r="AU14" s="5">
        <v>0.40919581999999999</v>
      </c>
      <c r="AV14" s="6">
        <v>8.3226076399999993</v>
      </c>
      <c r="AW14" s="6">
        <v>2355</v>
      </c>
      <c r="AX14" s="6">
        <v>2829.1</v>
      </c>
      <c r="AY14" s="5">
        <v>4.9166779600000003</v>
      </c>
      <c r="BF14" s="23" t="s">
        <v>45</v>
      </c>
      <c r="BJ14" s="4" t="s">
        <v>98</v>
      </c>
      <c r="BK14" s="5">
        <v>0.21248550999999999</v>
      </c>
      <c r="BL14">
        <f t="shared" si="0"/>
        <v>0.21248550999999999</v>
      </c>
      <c r="BM14" s="4" t="s">
        <v>110</v>
      </c>
      <c r="BN14" s="5">
        <v>7.9302120000000004E-2</v>
      </c>
      <c r="BO14">
        <f t="shared" si="1"/>
        <v>7.9302120000000004E-2</v>
      </c>
      <c r="BP14" s="4" t="s">
        <v>104</v>
      </c>
      <c r="BQ14" s="5">
        <v>0.19210448999999999</v>
      </c>
      <c r="BR14">
        <f t="shared" si="2"/>
        <v>0.19210448999999999</v>
      </c>
      <c r="BS14" t="str">
        <v>ST2-Program 3</v>
      </c>
      <c r="BT14">
        <v>-0.33468583517371653</v>
      </c>
      <c r="BV14" t="str">
        <v>ST1-Program 3 @ 1130A</v>
      </c>
      <c r="BW14">
        <v>-0.46164096496383816</v>
      </c>
      <c r="BY14" t="str">
        <v>ST1 -Program 5 @ 1230P</v>
      </c>
      <c r="BZ14">
        <v>-0.22875151260176257</v>
      </c>
      <c r="CB14" t="str">
        <v>ST1 -Program 5 @ 1230P</v>
      </c>
      <c r="CC14">
        <v>-0.12669017871834007</v>
      </c>
      <c r="CE14" t="str">
        <v>ST2-Program 3</v>
      </c>
      <c r="CF14">
        <v>-0.33471074380165289</v>
      </c>
      <c r="CH14" t="str">
        <v>ST1 -Program 5 @ 1230P</v>
      </c>
      <c r="CI14">
        <v>-0.19853674758895909</v>
      </c>
      <c r="CK14" t="str">
        <v>ST3-Program 2 @ 10A</v>
      </c>
      <c r="CL14">
        <v>-0.14300135760782531</v>
      </c>
      <c r="CN14" t="str">
        <v>ST2-Program 2</v>
      </c>
      <c r="CO14">
        <v>-0.20344621879588837</v>
      </c>
      <c r="CQ14" t="str">
        <v>ST3-Program 2 @ 10A</v>
      </c>
      <c r="CR14">
        <v>-0.14299131938441154</v>
      </c>
      <c r="CT14" t="str">
        <v>ST2-Program 2</v>
      </c>
      <c r="CU14">
        <v>-0.21229147930306863</v>
      </c>
    </row>
    <row r="15" spans="1:99" ht="21" thickBot="1" x14ac:dyDescent="0.35">
      <c r="A15" s="4" t="s">
        <v>91</v>
      </c>
      <c r="B15" s="4" t="s">
        <v>95</v>
      </c>
      <c r="C15" s="4" t="s">
        <v>108</v>
      </c>
      <c r="D15" s="44">
        <v>0.45833333333333331</v>
      </c>
      <c r="E15" s="44">
        <v>0.47916666666666669</v>
      </c>
      <c r="F15" s="4"/>
      <c r="G15" s="5">
        <v>0.32081999999999999</v>
      </c>
      <c r="H15" s="6">
        <v>4.5340363300000002</v>
      </c>
      <c r="I15" s="6">
        <v>4561</v>
      </c>
      <c r="J15" s="6">
        <v>2670.8</v>
      </c>
      <c r="K15" s="5">
        <v>3.5834057399999999</v>
      </c>
      <c r="L15" s="5">
        <v>0.32660512000000003</v>
      </c>
      <c r="M15" s="6">
        <v>0.94331202999999997</v>
      </c>
      <c r="N15" s="6">
        <v>301</v>
      </c>
      <c r="O15" s="6">
        <v>6789.8</v>
      </c>
      <c r="P15" s="5">
        <v>6.0014442800000003</v>
      </c>
      <c r="Q15" s="5">
        <v>5.2860160000000003E-2</v>
      </c>
      <c r="R15" s="6">
        <v>0.76725038999999995</v>
      </c>
      <c r="S15" s="6">
        <v>301</v>
      </c>
      <c r="T15" s="6">
        <v>3923.1</v>
      </c>
      <c r="U15" s="5">
        <v>6.8895574000000002</v>
      </c>
      <c r="V15" s="5">
        <v>0.43962669999999998</v>
      </c>
      <c r="W15" s="6">
        <v>1.69634328</v>
      </c>
      <c r="X15" s="6">
        <v>425</v>
      </c>
      <c r="Y15" s="6">
        <v>2507.3000000000002</v>
      </c>
      <c r="Z15" s="5">
        <v>2.0021104599999999</v>
      </c>
      <c r="AA15" s="4" t="s">
        <v>20</v>
      </c>
      <c r="AB15" s="4" t="s">
        <v>20</v>
      </c>
      <c r="AC15" s="4" t="s">
        <v>20</v>
      </c>
      <c r="AD15" s="4" t="s">
        <v>20</v>
      </c>
      <c r="AE15" s="4" t="s">
        <v>20</v>
      </c>
      <c r="AF15" s="4" t="s">
        <v>20</v>
      </c>
      <c r="AG15" s="4" t="s">
        <v>20</v>
      </c>
      <c r="AH15" s="4" t="s">
        <v>20</v>
      </c>
      <c r="AI15" s="4" t="s">
        <v>20</v>
      </c>
      <c r="AJ15" s="4" t="s">
        <v>20</v>
      </c>
      <c r="AK15" s="4" t="s">
        <v>20</v>
      </c>
      <c r="AL15" s="4" t="s">
        <v>20</v>
      </c>
      <c r="AM15" s="4" t="s">
        <v>20</v>
      </c>
      <c r="AN15" s="4" t="s">
        <v>20</v>
      </c>
      <c r="AO15" s="4" t="s">
        <v>20</v>
      </c>
      <c r="AP15" s="4" t="s">
        <v>20</v>
      </c>
      <c r="AQ15" s="4" t="s">
        <v>20</v>
      </c>
      <c r="AR15" s="4" t="s">
        <v>20</v>
      </c>
      <c r="AS15" s="4" t="s">
        <v>20</v>
      </c>
      <c r="AT15" s="4" t="s">
        <v>20</v>
      </c>
      <c r="AU15" s="4" t="s">
        <v>20</v>
      </c>
      <c r="AV15" s="4" t="s">
        <v>20</v>
      </c>
      <c r="AW15" s="4" t="s">
        <v>20</v>
      </c>
      <c r="AX15" s="4" t="s">
        <v>20</v>
      </c>
      <c r="AY15" s="4" t="s">
        <v>20</v>
      </c>
      <c r="BF15" s="24" t="str">
        <f>'Ratings Dashboard'!R30</f>
        <v>P25-54</v>
      </c>
      <c r="BJ15" s="4" t="s">
        <v>103</v>
      </c>
      <c r="BK15" s="5">
        <v>0.15577827999999999</v>
      </c>
      <c r="BL15">
        <f t="shared" si="0"/>
        <v>0.15577827999999999</v>
      </c>
      <c r="BM15" s="4" t="s">
        <v>103</v>
      </c>
      <c r="BN15" s="5">
        <v>6.3681249999999995E-2</v>
      </c>
      <c r="BO15">
        <f t="shared" si="1"/>
        <v>6.3681249999999995E-2</v>
      </c>
      <c r="BP15" s="4" t="s">
        <v>103</v>
      </c>
      <c r="BQ15" s="5">
        <v>0.14332563000000001</v>
      </c>
      <c r="BR15">
        <f t="shared" si="2"/>
        <v>0.14332563000000001</v>
      </c>
      <c r="BS15" t="str">
        <v>ST1-Program 2 @ 10A</v>
      </c>
      <c r="BT15">
        <v>-0.37612678085744233</v>
      </c>
      <c r="BV15" t="str">
        <v>ST1-Program 2 @ 10A</v>
      </c>
      <c r="BW15">
        <v>-0.56853474621544142</v>
      </c>
      <c r="BY15" t="str">
        <v>ST2-Program 3</v>
      </c>
      <c r="BZ15">
        <v>-0.24648072749502578</v>
      </c>
      <c r="CB15" t="str">
        <v>ST1-Program 3 @ 1130A</v>
      </c>
      <c r="CC15">
        <v>-0.15813242611891123</v>
      </c>
      <c r="CE15" t="str">
        <v>ST1-Program 2 @ 10A</v>
      </c>
      <c r="CF15">
        <v>-0.37618681036694895</v>
      </c>
      <c r="CH15" t="str">
        <v>ST1 -Program 4 @ 12P</v>
      </c>
      <c r="CI15">
        <v>-0.2714950711938664</v>
      </c>
      <c r="CK15" t="str">
        <v>ST4 - Program 2</v>
      </c>
      <c r="CL15">
        <v>-0.14934051907530838</v>
      </c>
      <c r="CN15" t="str">
        <v>ST3-Program 5 @ 12P</v>
      </c>
      <c r="CO15">
        <v>-0.20344621879588837</v>
      </c>
      <c r="CQ15" t="str">
        <v>ST4 - Program 2</v>
      </c>
      <c r="CR15">
        <v>-0.14935808355645272</v>
      </c>
      <c r="CT15" t="str">
        <v>ST3-Program 5 @ 12P</v>
      </c>
      <c r="CU15">
        <v>-0.21229147930306863</v>
      </c>
    </row>
    <row r="16" spans="1:99" ht="20.399999999999999" x14ac:dyDescent="0.3">
      <c r="A16" s="4" t="s">
        <v>91</v>
      </c>
      <c r="B16" s="4" t="s">
        <v>95</v>
      </c>
      <c r="C16" s="4" t="s">
        <v>109</v>
      </c>
      <c r="D16" s="44">
        <v>0.47916666666666669</v>
      </c>
      <c r="E16" s="44">
        <v>0.5</v>
      </c>
      <c r="F16" s="4"/>
      <c r="G16" s="5">
        <v>9.160095E-2</v>
      </c>
      <c r="H16" s="6">
        <v>5.2888112899999999</v>
      </c>
      <c r="I16" s="6">
        <v>738</v>
      </c>
      <c r="J16" s="6">
        <v>2589.3000000000002</v>
      </c>
      <c r="K16" s="5">
        <v>2.9544868200000001</v>
      </c>
      <c r="L16" s="5">
        <v>0.56010238999999995</v>
      </c>
      <c r="M16" s="6">
        <v>1.9514317800000001</v>
      </c>
      <c r="N16" s="6">
        <v>680</v>
      </c>
      <c r="O16" s="6">
        <v>3882.4</v>
      </c>
      <c r="P16" s="5">
        <v>3.4316146700000001</v>
      </c>
      <c r="Q16" s="5">
        <v>3.7748469999999999E-2</v>
      </c>
      <c r="R16" s="6">
        <v>1.1023995600000001</v>
      </c>
      <c r="S16" s="6">
        <v>215</v>
      </c>
      <c r="T16" s="6">
        <v>1949.8</v>
      </c>
      <c r="U16" s="5">
        <v>3.42420978</v>
      </c>
      <c r="V16" s="5">
        <v>3.396267E-2</v>
      </c>
      <c r="W16" s="6">
        <v>1.69634328</v>
      </c>
      <c r="X16" s="6">
        <v>425</v>
      </c>
      <c r="Y16" s="6">
        <v>2507.3000000000002</v>
      </c>
      <c r="Z16" s="5">
        <v>2.0021104599999999</v>
      </c>
      <c r="AA16" s="5">
        <v>4.0263859999999999E-2</v>
      </c>
      <c r="AB16" s="6">
        <v>1.3516071000000001</v>
      </c>
      <c r="AC16" s="6">
        <v>461</v>
      </c>
      <c r="AD16" s="6">
        <v>3408.2</v>
      </c>
      <c r="AE16" s="5">
        <v>2.9789620999999999</v>
      </c>
      <c r="AF16" s="5">
        <v>2.7185290000000001E-2</v>
      </c>
      <c r="AG16" s="6">
        <v>0.78843841999999997</v>
      </c>
      <c r="AH16" s="6">
        <v>156</v>
      </c>
      <c r="AI16" s="6">
        <v>1984</v>
      </c>
      <c r="AJ16" s="5">
        <v>3.4479921</v>
      </c>
      <c r="AK16" s="5">
        <v>3.2800830000000003E-2</v>
      </c>
      <c r="AL16" s="6">
        <v>1.7191302500000001</v>
      </c>
      <c r="AM16" s="6">
        <v>411</v>
      </c>
      <c r="AN16" s="6">
        <v>2389.4</v>
      </c>
      <c r="AO16" s="5">
        <v>1.90798998</v>
      </c>
      <c r="AP16" s="5">
        <v>5.8892399999999998E-2</v>
      </c>
      <c r="AQ16" s="6">
        <v>2.2272467699999998</v>
      </c>
      <c r="AR16" s="6">
        <v>674</v>
      </c>
      <c r="AS16" s="6">
        <v>3025.1</v>
      </c>
      <c r="AT16" s="5">
        <v>2.6441794199999999</v>
      </c>
      <c r="AU16" s="5">
        <v>6.3047119999999998E-2</v>
      </c>
      <c r="AV16" s="6">
        <v>2.08389281</v>
      </c>
      <c r="AW16" s="6">
        <v>363</v>
      </c>
      <c r="AX16" s="6">
        <v>1740.9</v>
      </c>
      <c r="AY16" s="5">
        <v>3.0254491200000002</v>
      </c>
      <c r="BJ16" s="4" t="s">
        <v>110</v>
      </c>
      <c r="BK16" s="5">
        <v>0.10322940999999999</v>
      </c>
      <c r="BL16">
        <f t="shared" si="0"/>
        <v>0.10322940999999999</v>
      </c>
      <c r="BM16" s="4" t="s">
        <v>102</v>
      </c>
      <c r="BN16" s="5">
        <v>5.6808060000000001E-2</v>
      </c>
      <c r="BO16">
        <f t="shared" si="1"/>
        <v>5.6808060000000001E-2</v>
      </c>
      <c r="BP16" s="4" t="s">
        <v>110</v>
      </c>
      <c r="BQ16" s="5">
        <v>0.13619585000000001</v>
      </c>
      <c r="BR16">
        <f t="shared" si="2"/>
        <v>0.13619585000000001</v>
      </c>
      <c r="BS16" t="str">
        <v>ST1 -Program 5 @ 1230P</v>
      </c>
      <c r="BT16">
        <v>-0.40186616568277711</v>
      </c>
      <c r="BV16" t="str">
        <v>ST3-Program 5 @ 12P</v>
      </c>
      <c r="BW16">
        <v>-0.65356228803096006</v>
      </c>
      <c r="BY16" t="str">
        <v>ST1-Program 2 @ 10A</v>
      </c>
      <c r="BZ16">
        <v>-0.29713745032510674</v>
      </c>
      <c r="CB16" t="str">
        <v>ST3-Program 5 @ 12P</v>
      </c>
      <c r="CC16">
        <v>-0.17811360508865764</v>
      </c>
      <c r="CE16" t="str">
        <v>ST1 -Program 5 @ 1230P</v>
      </c>
      <c r="CF16">
        <v>-0.40188616810059563</v>
      </c>
      <c r="CH16" t="str">
        <v>ST1-Program 3 @ 1130A</v>
      </c>
      <c r="CI16">
        <v>-0.46423093013526706</v>
      </c>
      <c r="CK16" t="str">
        <v>ST1 -Program 4 @ 12P</v>
      </c>
      <c r="CL16">
        <v>-0.19575138415919568</v>
      </c>
      <c r="CN16" t="str">
        <v>ST1-Program 2 @ 10A</v>
      </c>
      <c r="CO16">
        <v>-0.22081702039975276</v>
      </c>
      <c r="CQ16" t="str">
        <v>ST1 -Program 4 @ 12P</v>
      </c>
      <c r="CR16">
        <v>-0.19575351061345389</v>
      </c>
      <c r="CT16" t="str">
        <v>ST1-Program 2 @ 10A</v>
      </c>
      <c r="CU16">
        <v>-0.22946493873101437</v>
      </c>
    </row>
    <row r="17" spans="1:99" ht="20.399999999999999" x14ac:dyDescent="0.3">
      <c r="A17" s="4" t="s">
        <v>91</v>
      </c>
      <c r="B17" s="4" t="s">
        <v>95</v>
      </c>
      <c r="C17" s="4" t="s">
        <v>110</v>
      </c>
      <c r="D17" s="44">
        <v>0.5</v>
      </c>
      <c r="E17" s="44">
        <v>0.54166666666666663</v>
      </c>
      <c r="F17" s="4"/>
      <c r="G17" s="5">
        <v>0.34909253000000001</v>
      </c>
      <c r="H17" s="6">
        <v>6.1956308499999997</v>
      </c>
      <c r="I17" s="6">
        <v>2845</v>
      </c>
      <c r="J17" s="6">
        <v>3911.3</v>
      </c>
      <c r="K17" s="5">
        <v>2.9339131200000002</v>
      </c>
      <c r="L17" s="5">
        <v>0.29797393999999999</v>
      </c>
      <c r="M17" s="6">
        <v>4.1390624799999998</v>
      </c>
      <c r="N17" s="6">
        <v>2240</v>
      </c>
      <c r="O17" s="6">
        <v>4358.3999999999996</v>
      </c>
      <c r="P17" s="5">
        <v>3.85233582</v>
      </c>
      <c r="Q17" s="5">
        <v>0.11035655</v>
      </c>
      <c r="R17" s="6">
        <v>2.6827873000000002</v>
      </c>
      <c r="S17" s="6">
        <v>628</v>
      </c>
      <c r="T17" s="6">
        <v>2342.3000000000002</v>
      </c>
      <c r="U17" s="5">
        <v>4.1135035699999998</v>
      </c>
      <c r="V17" s="5">
        <v>0.14849908000000001</v>
      </c>
      <c r="W17" s="6">
        <v>5.58771766</v>
      </c>
      <c r="X17" s="6">
        <v>1860</v>
      </c>
      <c r="Y17" s="6">
        <v>3328.2</v>
      </c>
      <c r="Z17" s="5">
        <v>2.6575981099999999</v>
      </c>
      <c r="AA17" s="5">
        <v>0.20071621000000001</v>
      </c>
      <c r="AB17" s="6">
        <v>5.3196362800000001</v>
      </c>
      <c r="AC17" s="6">
        <v>2296</v>
      </c>
      <c r="AD17" s="6">
        <v>4316.7</v>
      </c>
      <c r="AE17" s="5">
        <v>3.77311905</v>
      </c>
      <c r="AF17" s="5">
        <v>0.24428095999999999</v>
      </c>
      <c r="AG17" s="6">
        <v>5.4789821600000002</v>
      </c>
      <c r="AH17" s="6">
        <v>1406</v>
      </c>
      <c r="AI17" s="6">
        <v>2565.4</v>
      </c>
      <c r="AJ17" s="5">
        <v>4.4585099499999998</v>
      </c>
      <c r="AK17" s="5">
        <v>7.9302120000000004E-2</v>
      </c>
      <c r="AL17" s="6">
        <v>3.45613299</v>
      </c>
      <c r="AM17" s="6">
        <v>993</v>
      </c>
      <c r="AN17" s="6">
        <v>2873.5</v>
      </c>
      <c r="AO17" s="5">
        <v>2.2945331499999999</v>
      </c>
      <c r="AP17" s="5">
        <v>0.10322940999999999</v>
      </c>
      <c r="AQ17" s="6">
        <v>3.4018391399999999</v>
      </c>
      <c r="AR17" s="6">
        <v>1181</v>
      </c>
      <c r="AS17" s="6">
        <v>3471.7</v>
      </c>
      <c r="AT17" s="5">
        <v>3.03451775</v>
      </c>
      <c r="AU17" s="5">
        <v>0.13619585000000001</v>
      </c>
      <c r="AV17" s="6">
        <v>3.8107359999999999</v>
      </c>
      <c r="AW17" s="6">
        <v>784</v>
      </c>
      <c r="AX17" s="6">
        <v>2056.5</v>
      </c>
      <c r="AY17" s="5">
        <v>3.5740037899999999</v>
      </c>
      <c r="BJ17" s="4" t="s">
        <v>106</v>
      </c>
      <c r="BK17" s="5">
        <v>7.3216160000000002E-2</v>
      </c>
      <c r="BL17">
        <f t="shared" si="0"/>
        <v>7.3216160000000002E-2</v>
      </c>
      <c r="BM17" s="4" t="s">
        <v>106</v>
      </c>
      <c r="BN17" s="5">
        <v>5.149397E-2</v>
      </c>
      <c r="BO17">
        <f t="shared" si="1"/>
        <v>5.149397E-2</v>
      </c>
      <c r="BP17" s="4" t="s">
        <v>106</v>
      </c>
      <c r="BQ17" s="5">
        <v>0.10284965</v>
      </c>
      <c r="BR17">
        <f t="shared" si="2"/>
        <v>0.10284965</v>
      </c>
      <c r="BS17" t="str">
        <v>ST3-Program 5 @ 12P</v>
      </c>
      <c r="BT17">
        <v>-0.48569470298387962</v>
      </c>
      <c r="BV17" t="str">
        <v>ST3-Program 1 @ 9A</v>
      </c>
      <c r="BW17">
        <v>-0.79340114845301057</v>
      </c>
      <c r="BY17" t="str">
        <v>ST3-Program 5 @ 12P</v>
      </c>
      <c r="BZ17">
        <v>-0.36051283190361283</v>
      </c>
      <c r="CB17" t="str">
        <v>ST3-Program 1 @ 9A</v>
      </c>
      <c r="CC17">
        <v>-0.46074438110018878</v>
      </c>
      <c r="CE17" t="str">
        <v>ST3-Program 5 @ 12P</v>
      </c>
      <c r="CF17">
        <v>-0.48562717770034841</v>
      </c>
      <c r="CH17" t="str">
        <v>ST3-Program 5 @ 12P</v>
      </c>
      <c r="CI17">
        <v>-0.47276785714285713</v>
      </c>
      <c r="CK17" t="str">
        <v>ST2-Program 2</v>
      </c>
      <c r="CL17">
        <v>-0.19575138415919568</v>
      </c>
      <c r="CN17" t="str">
        <v>ST2-Program 1</v>
      </c>
      <c r="CO17">
        <v>-0.22081702039975276</v>
      </c>
      <c r="CQ17" t="str">
        <v>ST2-Program 2</v>
      </c>
      <c r="CR17">
        <v>-0.19575351061345389</v>
      </c>
      <c r="CT17" t="str">
        <v>ST2-Program 1</v>
      </c>
      <c r="CU17">
        <v>-0.22946493873101437</v>
      </c>
    </row>
    <row r="18" spans="1:99" ht="20.399999999999999" x14ac:dyDescent="0.3">
      <c r="A18" s="4" t="s">
        <v>92</v>
      </c>
      <c r="B18" s="4" t="s">
        <v>96</v>
      </c>
      <c r="C18" s="4" t="s">
        <v>111</v>
      </c>
      <c r="D18" s="44">
        <v>0.375</v>
      </c>
      <c r="E18" s="44">
        <v>0.41666666666666669</v>
      </c>
      <c r="F18" s="4"/>
      <c r="G18" s="5">
        <v>0.34208878999999998</v>
      </c>
      <c r="H18" s="6">
        <v>9.2264341299999995</v>
      </c>
      <c r="I18" s="6">
        <v>4149</v>
      </c>
      <c r="J18" s="6">
        <v>2994.5</v>
      </c>
      <c r="K18" s="5">
        <v>3.0368498100000001</v>
      </c>
      <c r="L18" s="5">
        <v>0.49184111000000003</v>
      </c>
      <c r="M18" s="6">
        <v>6.4002691</v>
      </c>
      <c r="N18" s="6">
        <v>4433</v>
      </c>
      <c r="O18" s="6">
        <v>6519.1</v>
      </c>
      <c r="P18" s="5">
        <v>5.7621412400000001</v>
      </c>
      <c r="Q18" s="5">
        <v>0.42132596</v>
      </c>
      <c r="R18" s="6">
        <v>6.6210593400000004</v>
      </c>
      <c r="S18" s="6">
        <v>2399</v>
      </c>
      <c r="T18" s="6">
        <v>3623.5</v>
      </c>
      <c r="U18" s="5">
        <v>6.36342213</v>
      </c>
      <c r="V18" s="5">
        <v>0.56995814</v>
      </c>
      <c r="W18" s="6">
        <v>13.764736279999999</v>
      </c>
      <c r="X18" s="6">
        <v>7138</v>
      </c>
      <c r="Y18" s="6">
        <v>5185.5</v>
      </c>
      <c r="Z18" s="5">
        <v>4.1407124</v>
      </c>
      <c r="AA18" s="5">
        <v>0.65933005</v>
      </c>
      <c r="AB18" s="6">
        <v>11.88850542</v>
      </c>
      <c r="AC18" s="6">
        <v>7543</v>
      </c>
      <c r="AD18" s="6">
        <v>6345</v>
      </c>
      <c r="AE18" s="5">
        <v>5.5459456200000004</v>
      </c>
      <c r="AF18" s="5">
        <v>0.69054645000000003</v>
      </c>
      <c r="AG18" s="6">
        <v>10.649653519999999</v>
      </c>
      <c r="AH18" s="6">
        <v>3973</v>
      </c>
      <c r="AI18" s="6">
        <v>3731</v>
      </c>
      <c r="AJ18" s="5">
        <v>6.4842151899999996</v>
      </c>
      <c r="AK18" s="5">
        <v>0.46813652</v>
      </c>
      <c r="AL18" s="6">
        <v>10.880849570000001</v>
      </c>
      <c r="AM18" s="6">
        <v>5863</v>
      </c>
      <c r="AN18" s="6">
        <v>5388</v>
      </c>
      <c r="AO18" s="5">
        <v>4.3023894</v>
      </c>
      <c r="AP18" s="5">
        <v>0.52854951999999999</v>
      </c>
      <c r="AQ18" s="6">
        <v>10.026556530000001</v>
      </c>
      <c r="AR18" s="6">
        <v>6047</v>
      </c>
      <c r="AS18" s="6">
        <v>6031</v>
      </c>
      <c r="AT18" s="5">
        <v>5.2714959099999996</v>
      </c>
      <c r="AU18" s="5">
        <v>0.47984847000000003</v>
      </c>
      <c r="AV18" s="6">
        <v>8.2162191500000006</v>
      </c>
      <c r="AW18" s="6">
        <v>2761</v>
      </c>
      <c r="AX18" s="6">
        <v>3360.5</v>
      </c>
      <c r="AY18" s="5">
        <v>5.8402589100000002</v>
      </c>
      <c r="BE18" s="21"/>
      <c r="BF18" s="21" t="s">
        <v>63</v>
      </c>
      <c r="BH18" t="s">
        <v>64</v>
      </c>
      <c r="BJ18" s="4" t="s">
        <v>109</v>
      </c>
      <c r="BK18" s="5">
        <v>5.8892399999999998E-2</v>
      </c>
      <c r="BL18">
        <f t="shared" si="0"/>
        <v>5.8892399999999998E-2</v>
      </c>
      <c r="BM18" s="4" t="s">
        <v>109</v>
      </c>
      <c r="BN18" s="5">
        <v>3.2800830000000003E-2</v>
      </c>
      <c r="BO18">
        <f t="shared" si="1"/>
        <v>3.2800830000000003E-2</v>
      </c>
      <c r="BP18" s="4" t="s">
        <v>109</v>
      </c>
      <c r="BQ18" s="5">
        <v>6.3047119999999998E-2</v>
      </c>
      <c r="BR18">
        <f t="shared" si="2"/>
        <v>6.3047119999999998E-2</v>
      </c>
      <c r="BS18" t="str">
        <v>ST2-Program 2</v>
      </c>
      <c r="BT18">
        <v>-0.54569264598692835</v>
      </c>
      <c r="BV18" t="str">
        <v>ST3-Program 4 @ 1130A</v>
      </c>
      <c r="BW18">
        <v>-0.89485422477843746</v>
      </c>
      <c r="BY18" t="str">
        <v>ST2-Program 2</v>
      </c>
      <c r="BZ18">
        <v>-0.43511429518105837</v>
      </c>
      <c r="CB18" t="str">
        <v>ST1-Program 2 @ 10A</v>
      </c>
      <c r="CC18">
        <v>-0.46282479196164295</v>
      </c>
      <c r="CE18" t="str">
        <v>ST2-Program 2</v>
      </c>
      <c r="CF18">
        <v>-0.54575579913331629</v>
      </c>
      <c r="CH18" t="str">
        <v>ST1-Program 2 @ 10A</v>
      </c>
      <c r="CI18">
        <v>-0.55468034438541858</v>
      </c>
      <c r="CK18" t="str">
        <v>ST3-Program 5 @ 12P</v>
      </c>
      <c r="CL18">
        <v>-0.19575138415919568</v>
      </c>
      <c r="CN18" t="str">
        <v>ST3-Program 4 @ 1130A</v>
      </c>
      <c r="CO18">
        <v>-0.22081702039975276</v>
      </c>
      <c r="CQ18" t="str">
        <v>ST3-Program 5 @ 12P</v>
      </c>
      <c r="CR18">
        <v>-0.19575351061345389</v>
      </c>
      <c r="CT18" t="str">
        <v>ST3-Program 4 @ 1130A</v>
      </c>
      <c r="CU18">
        <v>-0.22946493873101437</v>
      </c>
    </row>
    <row r="19" spans="1:99" x14ac:dyDescent="0.3">
      <c r="A19" s="4" t="s">
        <v>92</v>
      </c>
      <c r="B19" s="4" t="s">
        <v>96</v>
      </c>
      <c r="C19" s="4" t="s">
        <v>112</v>
      </c>
      <c r="D19" s="44">
        <v>0.41666666666666669</v>
      </c>
      <c r="E19" s="44">
        <v>0.45833333333333331</v>
      </c>
      <c r="F19" s="4"/>
      <c r="G19" s="5">
        <v>0.32540000000000002</v>
      </c>
      <c r="H19" s="6">
        <v>7.7080964500000002</v>
      </c>
      <c r="I19" s="6">
        <v>2968</v>
      </c>
      <c r="J19" s="6">
        <v>3520.5</v>
      </c>
      <c r="K19" s="5">
        <v>2.9646182799999998</v>
      </c>
      <c r="L19" s="5">
        <v>0.20728421</v>
      </c>
      <c r="M19" s="6">
        <v>7.34270947</v>
      </c>
      <c r="N19" s="6">
        <v>3476</v>
      </c>
      <c r="O19" s="6">
        <v>4867.2</v>
      </c>
      <c r="P19" s="5">
        <v>4.3020679299999998</v>
      </c>
      <c r="Q19" s="5">
        <v>0.32875262999999999</v>
      </c>
      <c r="R19" s="6">
        <v>7.2109427200000003</v>
      </c>
      <c r="S19" s="6">
        <v>1872</v>
      </c>
      <c r="T19" s="6">
        <v>2596.1</v>
      </c>
      <c r="U19" s="5">
        <v>4.5590797900000002</v>
      </c>
      <c r="V19" s="5">
        <v>0.28160287000000001</v>
      </c>
      <c r="W19" s="6">
        <v>9.46779875</v>
      </c>
      <c r="X19" s="6">
        <v>3527</v>
      </c>
      <c r="Y19" s="6">
        <v>3724.8</v>
      </c>
      <c r="Z19" s="5">
        <v>2.9743224800000001</v>
      </c>
      <c r="AA19" s="5">
        <v>0.40760442000000002</v>
      </c>
      <c r="AB19" s="6">
        <v>9.4480453700000009</v>
      </c>
      <c r="AC19" s="6">
        <v>4663</v>
      </c>
      <c r="AD19" s="6">
        <v>4935.7</v>
      </c>
      <c r="AE19" s="5">
        <v>4.3141666299999999</v>
      </c>
      <c r="AF19" s="5">
        <v>0.46242698999999998</v>
      </c>
      <c r="AG19" s="6">
        <v>9.3241277100000008</v>
      </c>
      <c r="AH19" s="6">
        <v>2661</v>
      </c>
      <c r="AI19" s="6">
        <v>2853.7</v>
      </c>
      <c r="AJ19" s="5">
        <v>4.9594664499999999</v>
      </c>
      <c r="AK19" s="5">
        <v>0.18436918999999999</v>
      </c>
      <c r="AL19" s="6">
        <v>6.6543280300000003</v>
      </c>
      <c r="AM19" s="6">
        <v>2309</v>
      </c>
      <c r="AN19" s="6">
        <v>3469.8</v>
      </c>
      <c r="AO19" s="5">
        <v>2.77066576</v>
      </c>
      <c r="AP19" s="5">
        <v>0.27576682000000002</v>
      </c>
      <c r="AQ19" s="6">
        <v>7.5144692800000001</v>
      </c>
      <c r="AR19" s="6">
        <v>3155</v>
      </c>
      <c r="AS19" s="6">
        <v>4198.6000000000004</v>
      </c>
      <c r="AT19" s="5">
        <v>3.6698109699999999</v>
      </c>
      <c r="AU19" s="5">
        <v>0.31168154999999997</v>
      </c>
      <c r="AV19" s="6">
        <v>7.3975765600000001</v>
      </c>
      <c r="AW19" s="6">
        <v>1793</v>
      </c>
      <c r="AX19" s="6">
        <v>2424.3000000000002</v>
      </c>
      <c r="AY19" s="5">
        <v>4.2132926800000003</v>
      </c>
      <c r="BE19" t="str" cm="1">
        <f t="array" ref="BE19:BE59">_xlfn.XLOOKUP(BU35:BU75,BS3:BS34,BS3:BS34)</f>
        <v>ST1 -Program 4 @ 12P</v>
      </c>
      <c r="BF19" cm="1">
        <f t="array" ref="BF19:BF59">_xlfn.XLOOKUP(BU35:BU75,BS3:BS34,BT3:BT34)</f>
        <v>-0.27810793303474474</v>
      </c>
      <c r="BG19" t="str" cm="1">
        <f t="array" ref="BG19:BG59">_xlfn.XLOOKUP(BU35:BU75,BV3:BV34,BV3:BV34)</f>
        <v>ST1 -Program 4 @ 12P</v>
      </c>
      <c r="BH19" cm="1">
        <f t="array" ref="BH19:BH59">_xlfn.XLOOKUP(BU35:BU75,BV3:BV34,BW3:BW34)</f>
        <v>-0.14758311556383738</v>
      </c>
      <c r="BL19" t="str">
        <f t="shared" si="0"/>
        <v/>
      </c>
      <c r="BM19" s="4"/>
      <c r="BN19" s="5"/>
      <c r="BO19" t="str">
        <f t="shared" si="1"/>
        <v/>
      </c>
      <c r="BP19" s="4"/>
      <c r="BQ19" s="5"/>
      <c r="BR19" t="str">
        <f t="shared" si="2"/>
        <v/>
      </c>
    </row>
    <row r="20" spans="1:99" x14ac:dyDescent="0.3">
      <c r="BE20" t="str">
        <v>ST1 -Program 5 @ 1230P</v>
      </c>
      <c r="BF20">
        <v>-0.40186616568277711</v>
      </c>
      <c r="BG20" t="str">
        <v>ST1 -Program 5 @ 1230P</v>
      </c>
      <c r="BH20">
        <v>-0.10660525488250371</v>
      </c>
      <c r="BL20" t="str">
        <f t="shared" si="0"/>
        <v/>
      </c>
      <c r="BM20" s="4"/>
      <c r="BN20" s="5"/>
      <c r="BO20" t="str">
        <f t="shared" si="1"/>
        <v/>
      </c>
      <c r="BP20" s="4"/>
      <c r="BQ20" s="5"/>
      <c r="BR20" t="str">
        <f t="shared" si="2"/>
        <v/>
      </c>
    </row>
    <row r="21" spans="1:99" x14ac:dyDescent="0.3">
      <c r="BE21" t="str">
        <v xml:space="preserve">ST1-Program 1 @ 9A </v>
      </c>
      <c r="BF21">
        <v>0.20756608542694588</v>
      </c>
      <c r="BG21" t="str">
        <v xml:space="preserve">ST1-Program 1 @ 9A </v>
      </c>
      <c r="BH21">
        <v>-0.15349369993861217</v>
      </c>
      <c r="BL21" t="str">
        <f t="shared" si="0"/>
        <v/>
      </c>
      <c r="BM21" s="4"/>
      <c r="BN21" s="5"/>
      <c r="BO21" t="str">
        <f t="shared" si="1"/>
        <v/>
      </c>
      <c r="BP21" s="4"/>
      <c r="BQ21" s="5"/>
      <c r="BR21" t="str">
        <f t="shared" si="2"/>
        <v/>
      </c>
    </row>
    <row r="22" spans="1:99" x14ac:dyDescent="0.3">
      <c r="A22" t="s">
        <v>51</v>
      </c>
      <c r="I22" t="s">
        <v>55</v>
      </c>
      <c r="Q22" t="s">
        <v>56</v>
      </c>
      <c r="Y22" t="s">
        <v>43</v>
      </c>
      <c r="AG22" t="s">
        <v>44</v>
      </c>
      <c r="BE22" t="str">
        <v>ST1-Program 2 @ 10A</v>
      </c>
      <c r="BF22">
        <v>-0.37612678085744233</v>
      </c>
      <c r="BG22" t="str">
        <v>ST1-Program 2 @ 10A</v>
      </c>
      <c r="BH22">
        <v>-0.56853474621544142</v>
      </c>
      <c r="BL22" t="str">
        <f t="shared" si="0"/>
        <v/>
      </c>
      <c r="BM22" s="4"/>
      <c r="BN22" s="5"/>
      <c r="BO22" t="str">
        <f t="shared" si="1"/>
        <v/>
      </c>
      <c r="BP22" s="4"/>
      <c r="BQ22" s="5"/>
      <c r="BR22" t="str">
        <f t="shared" si="2"/>
        <v/>
      </c>
    </row>
    <row r="23" spans="1:99" x14ac:dyDescent="0.3">
      <c r="BE23" t="str">
        <v>ST1-Program 3 @ 1130A</v>
      </c>
      <c r="BF23">
        <v>-0.25018782928732974</v>
      </c>
      <c r="BG23" t="str">
        <v>ST1-Program 3 @ 1130A</v>
      </c>
      <c r="BH23">
        <v>-0.46164096496383816</v>
      </c>
      <c r="BM23" s="4"/>
      <c r="BN23" s="5"/>
      <c r="BO23" t="str">
        <f t="shared" si="1"/>
        <v/>
      </c>
      <c r="BP23" s="4"/>
      <c r="BQ23" s="5"/>
      <c r="BR23" t="str">
        <f t="shared" si="2"/>
        <v/>
      </c>
    </row>
    <row r="24" spans="1:99" x14ac:dyDescent="0.3">
      <c r="A24" t="s">
        <v>41</v>
      </c>
      <c r="B24" t="s">
        <v>45</v>
      </c>
      <c r="C24" t="s">
        <v>61</v>
      </c>
      <c r="D24" t="s">
        <v>62</v>
      </c>
      <c r="E24" t="s">
        <v>60</v>
      </c>
      <c r="F24" t="s">
        <v>63</v>
      </c>
      <c r="G24" t="s">
        <v>64</v>
      </c>
      <c r="I24" t="s">
        <v>41</v>
      </c>
      <c r="J24" t="s">
        <v>45</v>
      </c>
      <c r="K24" t="s">
        <v>61</v>
      </c>
      <c r="L24" t="s">
        <v>62</v>
      </c>
      <c r="M24" t="s">
        <v>60</v>
      </c>
      <c r="N24" t="s">
        <v>63</v>
      </c>
      <c r="O24" t="s">
        <v>64</v>
      </c>
      <c r="Q24" t="s">
        <v>41</v>
      </c>
      <c r="R24" t="s">
        <v>45</v>
      </c>
      <c r="S24" t="s">
        <v>61</v>
      </c>
      <c r="T24" t="s">
        <v>62</v>
      </c>
      <c r="U24" t="s">
        <v>60</v>
      </c>
      <c r="V24" t="s">
        <v>63</v>
      </c>
      <c r="W24" t="s">
        <v>64</v>
      </c>
      <c r="Y24" t="s">
        <v>41</v>
      </c>
      <c r="Z24" t="s">
        <v>45</v>
      </c>
      <c r="AA24" t="s">
        <v>61</v>
      </c>
      <c r="AB24" t="s">
        <v>62</v>
      </c>
      <c r="AC24" t="s">
        <v>60</v>
      </c>
      <c r="AD24" t="s">
        <v>63</v>
      </c>
      <c r="AE24" t="s">
        <v>64</v>
      </c>
      <c r="AG24" t="s">
        <v>41</v>
      </c>
      <c r="AH24" t="s">
        <v>45</v>
      </c>
      <c r="AI24" t="s">
        <v>61</v>
      </c>
      <c r="AJ24" t="s">
        <v>62</v>
      </c>
      <c r="AK24" t="s">
        <v>60</v>
      </c>
      <c r="AL24" t="s">
        <v>63</v>
      </c>
      <c r="AM24" t="s">
        <v>64</v>
      </c>
      <c r="BE24" t="str">
        <v>ST2-Program 1</v>
      </c>
      <c r="BF24">
        <v>3.1603076957039594E-2</v>
      </c>
      <c r="BG24" t="str">
        <v>ST2-Program 1</v>
      </c>
      <c r="BH24">
        <v>0.2335228712092593</v>
      </c>
      <c r="BM24" s="4"/>
      <c r="BN24" s="5"/>
      <c r="BO24" t="str">
        <f t="shared" si="1"/>
        <v/>
      </c>
      <c r="BP24" s="4"/>
      <c r="BQ24" s="5"/>
      <c r="BR24" t="str">
        <f t="shared" si="2"/>
        <v/>
      </c>
    </row>
    <row r="25" spans="1:99" x14ac:dyDescent="0.3">
      <c r="A25" s="4" t="s">
        <v>97</v>
      </c>
      <c r="B25" t="s">
        <v>10</v>
      </c>
      <c r="C25" s="5">
        <v>0.47074286999999998</v>
      </c>
      <c r="D25" s="5">
        <v>0.45259497999999998</v>
      </c>
      <c r="E25" s="5">
        <v>0.52583343000000005</v>
      </c>
      <c r="F25">
        <f t="shared" ref="F25:F72" si="3">(E25-D25)/D25</f>
        <v>0.16181896228720891</v>
      </c>
      <c r="G25">
        <f t="shared" ref="G25:G72" si="4">(E25-C25)/C25</f>
        <v>0.11702898442200531</v>
      </c>
      <c r="I25" s="4" t="s">
        <v>97</v>
      </c>
      <c r="J25" t="s">
        <v>10</v>
      </c>
      <c r="K25" s="6">
        <v>8.0908352000000008</v>
      </c>
      <c r="L25" s="6">
        <v>10.557890329999999</v>
      </c>
      <c r="M25" s="6">
        <v>10.17025654</v>
      </c>
      <c r="N25">
        <f t="shared" ref="N25:N72" si="5">(M25-L25)/L25</f>
        <v>-3.6715080180227531E-2</v>
      </c>
      <c r="O25">
        <f t="shared" ref="O25:O72" si="6">(M25-K25)/K25</f>
        <v>0.25700947907083799</v>
      </c>
      <c r="Q25" s="4" t="s">
        <v>97</v>
      </c>
      <c r="R25" t="s">
        <v>10</v>
      </c>
      <c r="S25" s="6">
        <v>5587</v>
      </c>
      <c r="T25" s="6">
        <v>5668</v>
      </c>
      <c r="U25" s="6">
        <v>6585</v>
      </c>
      <c r="V25">
        <f t="shared" ref="V25:V72" si="7">(U25-T25)/T25</f>
        <v>0.16178546224417784</v>
      </c>
      <c r="W25">
        <f t="shared" ref="W25:W72" si="8">(U25-S25)/S25</f>
        <v>0.17862896008591372</v>
      </c>
      <c r="Y25" s="4" t="s">
        <v>97</v>
      </c>
      <c r="Z25" t="s">
        <v>10</v>
      </c>
      <c r="AA25" s="6">
        <v>5968.9</v>
      </c>
      <c r="AB25" s="6">
        <v>4368.5</v>
      </c>
      <c r="AC25" s="6">
        <v>6474.9</v>
      </c>
      <c r="AD25">
        <f t="shared" ref="AD25:AD72" si="9">(AC25-AB25)/AB25</f>
        <v>0.48217923772461935</v>
      </c>
      <c r="AE25">
        <f t="shared" ref="AE25:AE72" si="10">(AC25-AA25)/AA25</f>
        <v>8.4772738695572059E-2</v>
      </c>
      <c r="AG25" s="4" t="s">
        <v>97</v>
      </c>
      <c r="AH25" t="s">
        <v>10</v>
      </c>
      <c r="AI25" s="5">
        <v>4.2284795500000003</v>
      </c>
      <c r="AJ25" s="5">
        <v>4.2867936799999997</v>
      </c>
      <c r="AK25" s="5">
        <v>5.1703064100000002</v>
      </c>
      <c r="AL25">
        <f t="shared" ref="AL25:AL72" si="11">(AK25-AJ25)/AJ25</f>
        <v>0.20610106199466091</v>
      </c>
      <c r="AM25">
        <f t="shared" ref="AM25:AM72" si="12">(AK25-AI25)/AI25</f>
        <v>0.22273416457695766</v>
      </c>
      <c r="BE25" t="str">
        <v>ST2-Program 2</v>
      </c>
      <c r="BF25">
        <v>-0.54569264598692835</v>
      </c>
      <c r="BG25" t="str">
        <v>ST2-Program 2</v>
      </c>
      <c r="BH25">
        <v>-0.42053203617574597</v>
      </c>
      <c r="BM25" s="4"/>
      <c r="BN25" s="5"/>
      <c r="BP25" s="4"/>
      <c r="BQ25" s="5"/>
    </row>
    <row r="26" spans="1:99" x14ac:dyDescent="0.3">
      <c r="A26" s="4" t="s">
        <v>98</v>
      </c>
      <c r="B26" t="s">
        <v>10</v>
      </c>
      <c r="C26" s="5">
        <v>0.28718473</v>
      </c>
      <c r="D26" s="5">
        <v>0.17475412000000001</v>
      </c>
      <c r="E26" s="5">
        <v>0.11439468</v>
      </c>
      <c r="F26">
        <f t="shared" si="3"/>
        <v>-0.34539637749313157</v>
      </c>
      <c r="G26">
        <f t="shared" si="4"/>
        <v>-0.60166865417948934</v>
      </c>
      <c r="I26" s="4" t="s">
        <v>98</v>
      </c>
      <c r="J26" t="s">
        <v>10</v>
      </c>
      <c r="K26" s="6">
        <v>10.73836369</v>
      </c>
      <c r="L26" s="6">
        <v>8.7284953400000003</v>
      </c>
      <c r="M26" s="6">
        <v>5.9955596199999999</v>
      </c>
      <c r="N26">
        <f t="shared" si="5"/>
        <v>-0.31310502137473795</v>
      </c>
      <c r="O26">
        <f t="shared" si="6"/>
        <v>-0.44166915993138617</v>
      </c>
      <c r="Q26" s="4" t="s">
        <v>98</v>
      </c>
      <c r="R26" t="s">
        <v>10</v>
      </c>
      <c r="S26" s="6">
        <v>3753</v>
      </c>
      <c r="T26" s="6">
        <v>2189</v>
      </c>
      <c r="U26" s="6">
        <v>1433</v>
      </c>
      <c r="V26">
        <f t="shared" si="7"/>
        <v>-0.34536317953403378</v>
      </c>
      <c r="W26">
        <f t="shared" si="8"/>
        <v>-0.61817212896349583</v>
      </c>
      <c r="Y26" s="4" t="s">
        <v>98</v>
      </c>
      <c r="Z26" t="s">
        <v>10</v>
      </c>
      <c r="AA26" s="6">
        <v>3789.3</v>
      </c>
      <c r="AB26" s="6">
        <v>2907.3</v>
      </c>
      <c r="AC26" s="6">
        <v>2389.4</v>
      </c>
      <c r="AD26">
        <f t="shared" si="9"/>
        <v>-0.1781377910776322</v>
      </c>
      <c r="AE26">
        <f t="shared" si="10"/>
        <v>-0.36943498799250524</v>
      </c>
      <c r="AG26" s="4" t="s">
        <v>98</v>
      </c>
      <c r="AH26" t="s">
        <v>10</v>
      </c>
      <c r="AI26" s="5">
        <v>2.9544868200000001</v>
      </c>
      <c r="AJ26" s="5">
        <v>2.5021104599999999</v>
      </c>
      <c r="AK26" s="5">
        <v>1.90798998</v>
      </c>
      <c r="AL26">
        <f t="shared" si="11"/>
        <v>-0.23744774241501712</v>
      </c>
      <c r="AM26">
        <f t="shared" si="12"/>
        <v>-0.3542059598695384</v>
      </c>
      <c r="BE26" t="str">
        <v>ST2-Program 3</v>
      </c>
      <c r="BF26">
        <v>-0.33468583517371653</v>
      </c>
      <c r="BG26" t="str">
        <v>ST2-Program 3</v>
      </c>
      <c r="BH26">
        <v>-0.29294941613302627</v>
      </c>
      <c r="BM26" s="4"/>
      <c r="BN26" s="5"/>
      <c r="BP26" s="4"/>
      <c r="BQ26" s="5"/>
    </row>
    <row r="27" spans="1:99" x14ac:dyDescent="0.3">
      <c r="A27" s="4" t="s">
        <v>99</v>
      </c>
      <c r="B27" t="s">
        <v>10</v>
      </c>
      <c r="C27" s="5">
        <v>0.38409863</v>
      </c>
      <c r="D27" s="5">
        <v>0.24537043</v>
      </c>
      <c r="E27" s="5">
        <v>0.1956252</v>
      </c>
      <c r="F27">
        <f t="shared" si="3"/>
        <v>-0.20273522771264654</v>
      </c>
      <c r="G27">
        <f t="shared" si="4"/>
        <v>-0.49069019069398917</v>
      </c>
      <c r="I27" s="4" t="s">
        <v>99</v>
      </c>
      <c r="J27" t="s">
        <v>10</v>
      </c>
      <c r="K27" s="6">
        <v>11.57567785</v>
      </c>
      <c r="L27" s="6">
        <v>10.865604510000001</v>
      </c>
      <c r="M27" s="6">
        <v>8.5186302400000002</v>
      </c>
      <c r="N27">
        <f t="shared" si="5"/>
        <v>-0.21600034014122241</v>
      </c>
      <c r="O27">
        <f t="shared" si="6"/>
        <v>-0.2640923192243122</v>
      </c>
      <c r="Q27" s="4" t="s">
        <v>99</v>
      </c>
      <c r="R27" t="s">
        <v>10</v>
      </c>
      <c r="S27" s="6">
        <v>7765</v>
      </c>
      <c r="T27" s="6">
        <v>3073</v>
      </c>
      <c r="U27" s="6">
        <v>2450</v>
      </c>
      <c r="V27">
        <f t="shared" si="7"/>
        <v>-0.20273348519362186</v>
      </c>
      <c r="W27">
        <f t="shared" si="8"/>
        <v>-0.68448164842240822</v>
      </c>
      <c r="Y27" s="4" t="s">
        <v>99</v>
      </c>
      <c r="Z27" t="s">
        <v>10</v>
      </c>
      <c r="AA27" s="6">
        <v>3874.4</v>
      </c>
      <c r="AB27" s="6">
        <v>2828.1</v>
      </c>
      <c r="AC27" s="6">
        <v>2875.9</v>
      </c>
      <c r="AD27">
        <f t="shared" si="9"/>
        <v>1.6901806866801098E-2</v>
      </c>
      <c r="AE27">
        <f t="shared" si="10"/>
        <v>-0.25771732397274416</v>
      </c>
      <c r="AG27" s="4" t="s">
        <v>99</v>
      </c>
      <c r="AH27" t="s">
        <v>10</v>
      </c>
      <c r="AI27" s="5">
        <v>3.3232752900000002</v>
      </c>
      <c r="AJ27" s="5">
        <v>2.2582308499999999</v>
      </c>
      <c r="AK27" s="5">
        <v>2.2964395999999998</v>
      </c>
      <c r="AL27">
        <f t="shared" si="11"/>
        <v>1.6919771510516698E-2</v>
      </c>
      <c r="AM27">
        <f t="shared" si="12"/>
        <v>-0.30898303643090619</v>
      </c>
      <c r="BE27" t="str">
        <v>ST2-Program 4</v>
      </c>
      <c r="BF27">
        <v>0.14093030094135281</v>
      </c>
      <c r="BG27" t="str">
        <v>ST2-Program 4</v>
      </c>
      <c r="BH27">
        <v>0.31996709235853971</v>
      </c>
      <c r="BM27" s="4"/>
      <c r="BN27" s="5"/>
      <c r="BP27" s="4"/>
      <c r="BQ27" s="5"/>
    </row>
    <row r="28" spans="1:99" x14ac:dyDescent="0.3">
      <c r="A28" s="4" t="s">
        <v>100</v>
      </c>
      <c r="B28" t="s">
        <v>10</v>
      </c>
      <c r="C28" s="5">
        <v>0.32146999999999998</v>
      </c>
      <c r="D28" s="5">
        <v>0.42087913999999998</v>
      </c>
      <c r="E28" s="5">
        <v>0.27971040000000003</v>
      </c>
      <c r="F28">
        <f t="shared" si="3"/>
        <v>-0.33541396230756404</v>
      </c>
      <c r="G28">
        <f t="shared" si="4"/>
        <v>-0.12990201262948317</v>
      </c>
      <c r="I28" s="4" t="s">
        <v>100</v>
      </c>
      <c r="J28" t="s">
        <v>10</v>
      </c>
      <c r="K28" s="6">
        <v>13.507984199999999</v>
      </c>
      <c r="L28" s="6">
        <v>15.83682434</v>
      </c>
      <c r="M28" s="6">
        <v>12.190296549999999</v>
      </c>
      <c r="N28">
        <f t="shared" si="5"/>
        <v>-0.23025625035126204</v>
      </c>
      <c r="O28">
        <f t="shared" si="6"/>
        <v>-9.754880006448334E-2</v>
      </c>
      <c r="Q28" s="4" t="s">
        <v>100</v>
      </c>
      <c r="R28" t="s">
        <v>10</v>
      </c>
      <c r="S28" s="6">
        <v>4977</v>
      </c>
      <c r="T28" s="6">
        <v>5271</v>
      </c>
      <c r="U28" s="6">
        <v>3503</v>
      </c>
      <c r="V28">
        <f t="shared" si="7"/>
        <v>-0.33542022386643899</v>
      </c>
      <c r="W28">
        <f t="shared" si="8"/>
        <v>-0.29616234679525821</v>
      </c>
      <c r="Y28" s="4" t="s">
        <v>100</v>
      </c>
      <c r="Z28" t="s">
        <v>10</v>
      </c>
      <c r="AA28" s="6">
        <v>3411.3</v>
      </c>
      <c r="AB28" s="6">
        <v>3328.2</v>
      </c>
      <c r="AC28" s="6">
        <v>2873.5</v>
      </c>
      <c r="AD28">
        <f t="shared" si="9"/>
        <v>-0.1366203954089297</v>
      </c>
      <c r="AE28">
        <f t="shared" si="10"/>
        <v>-0.15765250784158535</v>
      </c>
      <c r="AG28" s="4" t="s">
        <v>100</v>
      </c>
      <c r="AH28" t="s">
        <v>10</v>
      </c>
      <c r="AI28" s="5">
        <v>2.4939131200000002</v>
      </c>
      <c r="AJ28" s="5">
        <v>2.6575981099999999</v>
      </c>
      <c r="AK28" s="5">
        <v>2.2945331499999999</v>
      </c>
      <c r="AL28">
        <f t="shared" si="11"/>
        <v>-0.1366139442355338</v>
      </c>
      <c r="AM28">
        <f t="shared" si="12"/>
        <v>-7.9946638237341758E-2</v>
      </c>
      <c r="BE28" t="str">
        <v>ST3-Program 1 @ 9A</v>
      </c>
      <c r="BF28">
        <v>-1.0337928794391191E-2</v>
      </c>
      <c r="BG28" t="str">
        <v>ST3-Program 1 @ 9A</v>
      </c>
      <c r="BH28">
        <v>-0.79340114845301057</v>
      </c>
      <c r="BM28" s="4"/>
      <c r="BN28" s="5"/>
      <c r="BP28" s="4"/>
      <c r="BQ28" s="5"/>
    </row>
    <row r="29" spans="1:99" x14ac:dyDescent="0.3">
      <c r="A29" s="4" t="s">
        <v>101</v>
      </c>
      <c r="B29" t="s">
        <v>10</v>
      </c>
      <c r="C29" s="5">
        <v>0.55690187999999996</v>
      </c>
      <c r="D29" s="5">
        <v>0.79895300000000002</v>
      </c>
      <c r="E29" s="5">
        <v>0.39824635000000003</v>
      </c>
      <c r="F29">
        <f t="shared" si="3"/>
        <v>-0.50153970258575908</v>
      </c>
      <c r="G29">
        <f t="shared" si="4"/>
        <v>-0.28488955720530151</v>
      </c>
      <c r="I29" s="4" t="s">
        <v>101</v>
      </c>
      <c r="J29" t="s">
        <v>10</v>
      </c>
      <c r="K29" s="6">
        <v>11.501864380000001</v>
      </c>
      <c r="L29" s="6">
        <v>21.169007560000001</v>
      </c>
      <c r="M29" s="6">
        <v>12.26941927</v>
      </c>
      <c r="N29">
        <f t="shared" si="5"/>
        <v>-0.42040649590093493</v>
      </c>
      <c r="O29">
        <f t="shared" si="6"/>
        <v>6.6733084710567547E-2</v>
      </c>
      <c r="Q29" s="4" t="s">
        <v>101</v>
      </c>
      <c r="R29" t="s">
        <v>10</v>
      </c>
      <c r="S29" s="6">
        <v>4653</v>
      </c>
      <c r="T29" s="6">
        <v>9254</v>
      </c>
      <c r="U29" s="6">
        <v>4987</v>
      </c>
      <c r="V29">
        <f t="shared" si="7"/>
        <v>-0.46109790360925007</v>
      </c>
      <c r="W29">
        <f t="shared" si="8"/>
        <v>7.1781646249731351E-2</v>
      </c>
      <c r="Y29" s="4" t="s">
        <v>101</v>
      </c>
      <c r="Z29" t="s">
        <v>10</v>
      </c>
      <c r="AA29" s="6">
        <v>4898.1000000000004</v>
      </c>
      <c r="AB29" s="6">
        <v>4571.6000000000004</v>
      </c>
      <c r="AC29" s="6">
        <v>4064.9</v>
      </c>
      <c r="AD29">
        <f t="shared" si="9"/>
        <v>-0.11083646863242634</v>
      </c>
      <c r="AE29">
        <f t="shared" si="10"/>
        <v>-0.17010677609685393</v>
      </c>
      <c r="AG29" s="4" t="s">
        <v>101</v>
      </c>
      <c r="AH29" t="s">
        <v>10</v>
      </c>
      <c r="AI29" s="5">
        <v>3.9506423599999998</v>
      </c>
      <c r="AJ29" s="5">
        <v>3.4907304899999998</v>
      </c>
      <c r="AK29" s="5">
        <v>3.2458451500000001</v>
      </c>
      <c r="AL29">
        <f t="shared" si="11"/>
        <v>-7.0153035504038508E-2</v>
      </c>
      <c r="AM29">
        <f t="shared" si="12"/>
        <v>-0.17840066140535174</v>
      </c>
      <c r="BE29" t="str">
        <v>ST3-Program 2 @ 10A</v>
      </c>
      <c r="BF29">
        <v>-0.27833577595116349</v>
      </c>
      <c r="BG29" t="str">
        <v>ST3-Program 2 @ 10A</v>
      </c>
      <c r="BH29">
        <v>-0.27927557420026</v>
      </c>
      <c r="BM29" s="4"/>
      <c r="BN29" s="5"/>
      <c r="BP29" s="4"/>
      <c r="BQ29" s="5"/>
    </row>
    <row r="30" spans="1:99" x14ac:dyDescent="0.3">
      <c r="A30" s="4" t="s">
        <v>102</v>
      </c>
      <c r="B30" t="s">
        <v>10</v>
      </c>
      <c r="C30" s="5">
        <v>0.17355229999999999</v>
      </c>
      <c r="D30" s="5">
        <v>9.404063E-2</v>
      </c>
      <c r="E30" s="5">
        <v>5.6808060000000001E-2</v>
      </c>
      <c r="F30">
        <f t="shared" si="3"/>
        <v>-0.39592004009330861</v>
      </c>
      <c r="G30">
        <f t="shared" si="4"/>
        <v>-0.6726746922973651</v>
      </c>
      <c r="I30" s="4" t="s">
        <v>102</v>
      </c>
      <c r="J30" t="s">
        <v>10</v>
      </c>
      <c r="K30" s="6">
        <v>0.96980851999999995</v>
      </c>
      <c r="L30" s="6">
        <v>4.6970751499999999</v>
      </c>
      <c r="M30" s="6">
        <v>2.9773774999999998</v>
      </c>
      <c r="N30">
        <f t="shared" si="5"/>
        <v>-0.36612095720887072</v>
      </c>
      <c r="O30">
        <f t="shared" si="6"/>
        <v>2.0700673778366063</v>
      </c>
      <c r="Q30" s="4" t="s">
        <v>102</v>
      </c>
      <c r="R30" t="s">
        <v>10</v>
      </c>
      <c r="S30" s="6">
        <v>1215</v>
      </c>
      <c r="T30" s="6">
        <v>1178</v>
      </c>
      <c r="U30" s="6">
        <v>711</v>
      </c>
      <c r="V30">
        <f t="shared" si="7"/>
        <v>-0.39643463497453313</v>
      </c>
      <c r="W30">
        <f t="shared" si="8"/>
        <v>-0.4148148148148148</v>
      </c>
      <c r="Y30" s="4" t="s">
        <v>102</v>
      </c>
      <c r="Z30" t="s">
        <v>10</v>
      </c>
      <c r="AA30" s="6">
        <v>3789.3</v>
      </c>
      <c r="AB30" s="6">
        <v>2507.3000000000002</v>
      </c>
      <c r="AC30" s="6">
        <v>2389.4</v>
      </c>
      <c r="AD30">
        <f t="shared" si="9"/>
        <v>-4.7022693734295892E-2</v>
      </c>
      <c r="AE30">
        <f t="shared" si="10"/>
        <v>-0.36943498799250524</v>
      </c>
      <c r="AG30" s="4" t="s">
        <v>102</v>
      </c>
      <c r="AH30" t="s">
        <v>10</v>
      </c>
      <c r="AI30" s="5">
        <v>3.2544868199999999</v>
      </c>
      <c r="AJ30" s="5">
        <v>2.0021104599999999</v>
      </c>
      <c r="AK30" s="5">
        <v>1.90798998</v>
      </c>
      <c r="AL30">
        <f t="shared" si="11"/>
        <v>-4.7010632969771288E-2</v>
      </c>
      <c r="AM30">
        <f t="shared" si="12"/>
        <v>-0.41373553327218576</v>
      </c>
      <c r="BE30" t="str">
        <v>ST3-Program 3 @ 11A</v>
      </c>
      <c r="BF30" t="str">
        <v/>
      </c>
      <c r="BG30" t="str">
        <v>ST3-Program 3 @ 11A</v>
      </c>
      <c r="BH30" t="str">
        <v/>
      </c>
      <c r="BM30" s="4"/>
      <c r="BN30" s="4"/>
      <c r="BP30" s="4"/>
      <c r="BQ30" s="4"/>
    </row>
    <row r="31" spans="1:99" x14ac:dyDescent="0.3">
      <c r="A31" s="4" t="s">
        <v>103</v>
      </c>
      <c r="B31" t="s">
        <v>10</v>
      </c>
      <c r="C31" s="5">
        <v>0.21179566</v>
      </c>
      <c r="D31" s="5">
        <v>0.18401215000000001</v>
      </c>
      <c r="E31" s="5">
        <v>6.3681249999999995E-2</v>
      </c>
      <c r="F31">
        <f t="shared" si="3"/>
        <v>-0.65392910196419096</v>
      </c>
      <c r="G31">
        <f t="shared" si="4"/>
        <v>-0.69932693616101482</v>
      </c>
      <c r="I31" s="4" t="s">
        <v>103</v>
      </c>
      <c r="J31" t="s">
        <v>10</v>
      </c>
      <c r="K31" s="6">
        <v>12.59324765</v>
      </c>
      <c r="L31" s="6">
        <v>6.1714429099999997</v>
      </c>
      <c r="M31" s="6">
        <v>2.77534657</v>
      </c>
      <c r="N31">
        <f t="shared" si="5"/>
        <v>-0.55029210988844746</v>
      </c>
      <c r="O31">
        <f t="shared" si="6"/>
        <v>-0.77961629540414856</v>
      </c>
      <c r="Q31" s="4" t="s">
        <v>103</v>
      </c>
      <c r="R31" t="s">
        <v>10</v>
      </c>
      <c r="S31" s="6">
        <v>1583</v>
      </c>
      <c r="T31" s="6">
        <v>2054</v>
      </c>
      <c r="U31" s="6">
        <v>798</v>
      </c>
      <c r="V31">
        <f t="shared" si="7"/>
        <v>-0.61148977604673804</v>
      </c>
      <c r="W31">
        <f t="shared" si="8"/>
        <v>-0.49589387239418825</v>
      </c>
      <c r="Y31" s="4" t="s">
        <v>103</v>
      </c>
      <c r="Z31" t="s">
        <v>10</v>
      </c>
      <c r="AA31" s="6">
        <v>2011.3</v>
      </c>
      <c r="AB31" s="6">
        <v>3328.2</v>
      </c>
      <c r="AC31" s="6">
        <v>2873.5</v>
      </c>
      <c r="AD31">
        <f t="shared" si="9"/>
        <v>-0.1366203954089297</v>
      </c>
      <c r="AE31">
        <f t="shared" si="10"/>
        <v>0.42867796947248049</v>
      </c>
      <c r="AG31" s="4" t="s">
        <v>103</v>
      </c>
      <c r="AH31" t="s">
        <v>10</v>
      </c>
      <c r="AI31" s="5">
        <v>2.9339131200000002</v>
      </c>
      <c r="AJ31" s="5">
        <v>2.6575981099999999</v>
      </c>
      <c r="AK31" s="5">
        <v>2.2945331499999999</v>
      </c>
      <c r="AL31">
        <f t="shared" si="11"/>
        <v>-0.1366139442355338</v>
      </c>
      <c r="AM31">
        <f t="shared" si="12"/>
        <v>-0.21792736998292581</v>
      </c>
      <c r="BE31" t="str">
        <v>ST3-Program 4 @ 1130A</v>
      </c>
      <c r="BF31">
        <v>0.46266155306520534</v>
      </c>
      <c r="BG31" t="str">
        <v>ST3-Program 4 @ 1130A</v>
      </c>
      <c r="BH31">
        <v>-0.89485422477843746</v>
      </c>
      <c r="BM31" s="4"/>
      <c r="BN31" s="5"/>
      <c r="BP31" s="4"/>
      <c r="BQ31" s="5"/>
    </row>
    <row r="32" spans="1:99" x14ac:dyDescent="0.3">
      <c r="A32" s="4" t="s">
        <v>104</v>
      </c>
      <c r="B32" t="s">
        <v>10</v>
      </c>
      <c r="C32" s="5">
        <v>8.6884790000000003E-2</v>
      </c>
      <c r="D32" s="5">
        <v>0.14977470000000001</v>
      </c>
      <c r="E32" s="5">
        <v>0.13844182999999999</v>
      </c>
      <c r="F32">
        <f t="shared" si="3"/>
        <v>-7.566611717466315E-2</v>
      </c>
      <c r="G32">
        <f t="shared" si="4"/>
        <v>0.59339546081655925</v>
      </c>
      <c r="I32" s="4" t="s">
        <v>104</v>
      </c>
      <c r="J32" t="s">
        <v>10</v>
      </c>
      <c r="K32" s="6">
        <v>2.91804701</v>
      </c>
      <c r="L32" s="6">
        <v>6.63239102</v>
      </c>
      <c r="M32" s="6">
        <v>6.0285423400000004</v>
      </c>
      <c r="N32">
        <f t="shared" si="5"/>
        <v>-9.104539798378769E-2</v>
      </c>
      <c r="O32">
        <f t="shared" si="6"/>
        <v>1.0659510691022076</v>
      </c>
      <c r="Q32" s="4" t="s">
        <v>104</v>
      </c>
      <c r="R32" t="s">
        <v>10</v>
      </c>
      <c r="S32" s="6">
        <v>980</v>
      </c>
      <c r="T32" s="6">
        <v>1876</v>
      </c>
      <c r="U32" s="6">
        <v>1734</v>
      </c>
      <c r="V32">
        <f t="shared" si="7"/>
        <v>-7.5692963752665252E-2</v>
      </c>
      <c r="W32">
        <f t="shared" si="8"/>
        <v>0.76938775510204083</v>
      </c>
      <c r="Y32" s="4" t="s">
        <v>104</v>
      </c>
      <c r="Z32" t="s">
        <v>10</v>
      </c>
      <c r="AA32" s="6">
        <v>2574.4</v>
      </c>
      <c r="AB32" s="6">
        <v>2828.1</v>
      </c>
      <c r="AC32" s="6">
        <v>2875.9</v>
      </c>
      <c r="AD32">
        <f t="shared" si="9"/>
        <v>1.6901806866801098E-2</v>
      </c>
      <c r="AE32">
        <f t="shared" si="10"/>
        <v>0.11711466749533872</v>
      </c>
      <c r="AG32" s="4" t="s">
        <v>104</v>
      </c>
      <c r="AH32" t="s">
        <v>10</v>
      </c>
      <c r="AI32" s="5">
        <v>2.8232752900000002</v>
      </c>
      <c r="AJ32" s="5">
        <v>2.2582308499999999</v>
      </c>
      <c r="AK32" s="5">
        <v>2.2964395999999998</v>
      </c>
      <c r="AL32">
        <f t="shared" si="11"/>
        <v>1.6919771510516698E-2</v>
      </c>
      <c r="AM32">
        <f t="shared" si="12"/>
        <v>-0.1866044348796041</v>
      </c>
      <c r="BE32" t="str">
        <v>ST3-Program 5 @ 12P</v>
      </c>
      <c r="BF32">
        <v>-0.48569470298387962</v>
      </c>
      <c r="BG32" t="str">
        <v>ST3-Program 5 @ 12P</v>
      </c>
      <c r="BH32">
        <v>-0.65356228803096006</v>
      </c>
      <c r="BM32" s="4"/>
      <c r="BN32" s="5"/>
      <c r="BP32" s="4"/>
      <c r="BQ32" s="5"/>
    </row>
    <row r="33" spans="1:97" x14ac:dyDescent="0.3">
      <c r="A33" s="4" t="s">
        <v>105</v>
      </c>
      <c r="B33" t="s">
        <v>10</v>
      </c>
      <c r="C33" s="5">
        <v>0.19507853999999999</v>
      </c>
      <c r="D33" s="5">
        <v>0.20470826</v>
      </c>
      <c r="E33" s="5">
        <v>0.19307994000000001</v>
      </c>
      <c r="F33">
        <f t="shared" si="3"/>
        <v>-5.6804351714972307E-2</v>
      </c>
      <c r="G33">
        <f t="shared" si="4"/>
        <v>-1.0245104356429925E-2</v>
      </c>
      <c r="I33" s="4" t="s">
        <v>105</v>
      </c>
      <c r="J33" t="s">
        <v>10</v>
      </c>
      <c r="K33" s="6">
        <v>7.6047289899999999</v>
      </c>
      <c r="L33" s="6">
        <v>5.86433874</v>
      </c>
      <c r="M33" s="6">
        <v>5.9485260599999998</v>
      </c>
      <c r="N33">
        <f t="shared" si="5"/>
        <v>1.4355807829750272E-2</v>
      </c>
      <c r="O33">
        <f t="shared" si="6"/>
        <v>-0.21778592401883873</v>
      </c>
      <c r="Q33" s="4" t="s">
        <v>105</v>
      </c>
      <c r="R33" t="s">
        <v>10</v>
      </c>
      <c r="S33" s="6">
        <v>2795</v>
      </c>
      <c r="T33" s="6">
        <v>2564</v>
      </c>
      <c r="U33" s="6">
        <v>2418</v>
      </c>
      <c r="V33">
        <f t="shared" si="7"/>
        <v>-5.6942277691107643E-2</v>
      </c>
      <c r="W33">
        <f t="shared" si="8"/>
        <v>-0.13488372093023257</v>
      </c>
      <c r="Y33" s="4" t="s">
        <v>105</v>
      </c>
      <c r="Z33" t="s">
        <v>10</v>
      </c>
      <c r="AA33" s="6">
        <v>3398.1</v>
      </c>
      <c r="AB33" s="6">
        <v>4371.6000000000004</v>
      </c>
      <c r="AC33" s="6">
        <v>4064.9</v>
      </c>
      <c r="AD33">
        <f t="shared" si="9"/>
        <v>-7.0157379449171983E-2</v>
      </c>
      <c r="AE33">
        <f t="shared" si="10"/>
        <v>0.19622730349312859</v>
      </c>
      <c r="AG33" s="4" t="s">
        <v>105</v>
      </c>
      <c r="AH33" t="s">
        <v>10</v>
      </c>
      <c r="AI33" s="5">
        <v>2.15064236</v>
      </c>
      <c r="AJ33" s="5">
        <v>3.4907304899999998</v>
      </c>
      <c r="AK33" s="5">
        <v>3.2458451500000001</v>
      </c>
      <c r="AL33">
        <f t="shared" si="11"/>
        <v>-7.0153035504038508E-2</v>
      </c>
      <c r="AM33">
        <f t="shared" si="12"/>
        <v>0.5092444984669604</v>
      </c>
      <c r="BE33" t="str">
        <v>ST4 - Program 1</v>
      </c>
      <c r="BF33">
        <v>-0.19835366217571915</v>
      </c>
      <c r="BG33" t="str">
        <v>ST4 - Program 1</v>
      </c>
      <c r="BH33">
        <v>7.4634692492459534E-2</v>
      </c>
      <c r="BM33" s="4"/>
      <c r="BN33" s="5"/>
      <c r="BP33" s="4"/>
      <c r="BQ33" s="5"/>
    </row>
    <row r="34" spans="1:97" x14ac:dyDescent="0.3">
      <c r="A34" s="4" t="s">
        <v>106</v>
      </c>
      <c r="B34" t="s">
        <v>10</v>
      </c>
      <c r="C34" s="5">
        <v>0.24151797999999999</v>
      </c>
      <c r="D34" s="5">
        <v>5.0589660000000002E-2</v>
      </c>
      <c r="E34" s="5">
        <v>5.149397E-2</v>
      </c>
      <c r="F34">
        <f t="shared" si="3"/>
        <v>1.7875391927915672E-2</v>
      </c>
      <c r="G34">
        <f t="shared" si="4"/>
        <v>-0.78679032509298064</v>
      </c>
      <c r="I34" s="4" t="s">
        <v>106</v>
      </c>
      <c r="J34" t="s">
        <v>10</v>
      </c>
      <c r="K34" s="6">
        <v>8.78704529</v>
      </c>
      <c r="L34" s="6">
        <v>2.2402342200000001</v>
      </c>
      <c r="M34" s="6">
        <v>2.2423395799999999</v>
      </c>
      <c r="N34">
        <f t="shared" si="5"/>
        <v>9.3979458987097962E-4</v>
      </c>
      <c r="O34">
        <f t="shared" si="6"/>
        <v>-0.74481301666307909</v>
      </c>
      <c r="Q34" s="4" t="s">
        <v>106</v>
      </c>
      <c r="R34" t="s">
        <v>10</v>
      </c>
      <c r="S34" s="6">
        <v>914</v>
      </c>
      <c r="T34" s="6">
        <v>634</v>
      </c>
      <c r="U34" s="6">
        <v>645</v>
      </c>
      <c r="V34">
        <f t="shared" si="7"/>
        <v>1.7350157728706624E-2</v>
      </c>
      <c r="W34">
        <f t="shared" si="8"/>
        <v>-0.29431072210065645</v>
      </c>
      <c r="Y34" s="4" t="s">
        <v>106</v>
      </c>
      <c r="Z34" t="s">
        <v>10</v>
      </c>
      <c r="AA34" s="6">
        <v>3874.4</v>
      </c>
      <c r="AB34" s="6">
        <v>2828.1</v>
      </c>
      <c r="AC34" s="6">
        <v>2875.9</v>
      </c>
      <c r="AD34">
        <f t="shared" si="9"/>
        <v>1.6901806866801098E-2</v>
      </c>
      <c r="AE34">
        <f t="shared" si="10"/>
        <v>-0.25771732397274416</v>
      </c>
      <c r="AG34" s="4" t="s">
        <v>106</v>
      </c>
      <c r="AH34" t="s">
        <v>10</v>
      </c>
      <c r="AI34" s="5">
        <v>2.9232752899999999</v>
      </c>
      <c r="AJ34" s="5">
        <v>2.2582308499999999</v>
      </c>
      <c r="AK34" s="5">
        <v>2.2964395999999998</v>
      </c>
      <c r="AL34">
        <f t="shared" si="11"/>
        <v>1.6919771510516698E-2</v>
      </c>
      <c r="AM34">
        <f t="shared" si="12"/>
        <v>-0.21442923700832844</v>
      </c>
      <c r="BE34" t="str">
        <v>ST4 - Program 2</v>
      </c>
      <c r="BF34">
        <v>-0.32344497147503942</v>
      </c>
      <c r="BG34" t="str">
        <v>ST4 - Program 2</v>
      </c>
      <c r="BH34">
        <v>0.33038025424126627</v>
      </c>
      <c r="BM34" s="4"/>
      <c r="BN34" s="5"/>
      <c r="BP34" s="4"/>
      <c r="BQ34" s="5"/>
    </row>
    <row r="35" spans="1:97" x14ac:dyDescent="0.3">
      <c r="A35" s="4" t="s">
        <v>107</v>
      </c>
      <c r="B35" t="s">
        <v>10</v>
      </c>
      <c r="C35" s="5">
        <v>0.288082</v>
      </c>
      <c r="D35" s="5">
        <v>0.36824129999999999</v>
      </c>
      <c r="E35" s="5">
        <v>0.27325243999999999</v>
      </c>
      <c r="F35">
        <f t="shared" si="3"/>
        <v>-0.25795276086631241</v>
      </c>
      <c r="G35">
        <f t="shared" si="4"/>
        <v>-5.1476871168625669E-2</v>
      </c>
      <c r="I35" s="4" t="s">
        <v>107</v>
      </c>
      <c r="J35" t="s">
        <v>10</v>
      </c>
      <c r="K35" s="6">
        <v>9.5340363299999993</v>
      </c>
      <c r="L35" s="6">
        <v>10.54911873</v>
      </c>
      <c r="M35" s="6">
        <v>8.4185297299999995</v>
      </c>
      <c r="N35">
        <f t="shared" si="5"/>
        <v>-0.20196843495001601</v>
      </c>
      <c r="O35">
        <f t="shared" si="6"/>
        <v>-0.11700255394348806</v>
      </c>
      <c r="Q35" s="4" t="s">
        <v>107</v>
      </c>
      <c r="R35" t="s">
        <v>10</v>
      </c>
      <c r="S35" s="6">
        <v>4961</v>
      </c>
      <c r="T35" s="6">
        <v>4612</v>
      </c>
      <c r="U35" s="6">
        <v>3422</v>
      </c>
      <c r="V35">
        <f t="shared" si="7"/>
        <v>-0.25802254986990458</v>
      </c>
      <c r="W35">
        <f t="shared" si="8"/>
        <v>-0.31021971376738561</v>
      </c>
      <c r="Y35" s="4" t="s">
        <v>107</v>
      </c>
      <c r="Z35" t="s">
        <v>10</v>
      </c>
      <c r="AA35" s="6">
        <v>2898.1</v>
      </c>
      <c r="AB35" s="6">
        <v>3371.6</v>
      </c>
      <c r="AC35" s="6">
        <v>4064.9</v>
      </c>
      <c r="AD35">
        <f t="shared" si="9"/>
        <v>0.20562937477755375</v>
      </c>
      <c r="AE35">
        <f t="shared" si="10"/>
        <v>0.4026086056381768</v>
      </c>
      <c r="AG35" s="4" t="s">
        <v>107</v>
      </c>
      <c r="AH35" t="s">
        <v>10</v>
      </c>
      <c r="AI35" s="5">
        <v>3.1606423600000002</v>
      </c>
      <c r="AJ35" s="5">
        <v>3.4907304899999998</v>
      </c>
      <c r="AK35" s="5">
        <v>3.2458451500000001</v>
      </c>
      <c r="AL35">
        <f t="shared" si="11"/>
        <v>-7.0153035504038508E-2</v>
      </c>
      <c r="AM35">
        <f t="shared" si="12"/>
        <v>2.6957428362758468E-2</v>
      </c>
      <c r="BE35">
        <v>0</v>
      </c>
      <c r="BF35">
        <v>0</v>
      </c>
      <c r="BG35">
        <v>0</v>
      </c>
      <c r="BH35">
        <v>0</v>
      </c>
      <c r="BM35" s="4"/>
      <c r="BN35" s="5"/>
      <c r="BP35" s="4"/>
      <c r="BQ35" s="5"/>
      <c r="BU35" s="11" t="s">
        <v>100</v>
      </c>
      <c r="CA35" s="11" t="s">
        <v>100</v>
      </c>
      <c r="CG35" s="11" t="s">
        <v>100</v>
      </c>
      <c r="CM35" s="11" t="s">
        <v>100</v>
      </c>
      <c r="CS35" s="11" t="s">
        <v>100</v>
      </c>
    </row>
    <row r="36" spans="1:97" x14ac:dyDescent="0.3">
      <c r="A36" s="4" t="s">
        <v>108</v>
      </c>
      <c r="B36" t="s">
        <v>10</v>
      </c>
      <c r="C36" s="5">
        <v>0.32081999999999999</v>
      </c>
      <c r="D36" s="5">
        <v>0.43962669999999998</v>
      </c>
      <c r="E36" s="4" t="s">
        <v>20</v>
      </c>
      <c r="F36" t="e">
        <f t="shared" si="3"/>
        <v>#VALUE!</v>
      </c>
      <c r="G36" t="e">
        <f t="shared" si="4"/>
        <v>#VALUE!</v>
      </c>
      <c r="I36" s="4" t="s">
        <v>108</v>
      </c>
      <c r="J36" t="s">
        <v>10</v>
      </c>
      <c r="K36" s="6">
        <v>4.5340363300000002</v>
      </c>
      <c r="L36" s="6">
        <v>1.69634328</v>
      </c>
      <c r="M36" s="4" t="s">
        <v>20</v>
      </c>
      <c r="N36" t="e">
        <f t="shared" si="5"/>
        <v>#VALUE!</v>
      </c>
      <c r="O36" t="e">
        <f t="shared" si="6"/>
        <v>#VALUE!</v>
      </c>
      <c r="Q36" s="4" t="s">
        <v>108</v>
      </c>
      <c r="R36" t="s">
        <v>10</v>
      </c>
      <c r="S36" s="6">
        <v>4561</v>
      </c>
      <c r="T36" s="6">
        <v>425</v>
      </c>
      <c r="U36" s="4" t="s">
        <v>20</v>
      </c>
      <c r="V36" t="e">
        <f t="shared" si="7"/>
        <v>#VALUE!</v>
      </c>
      <c r="W36" t="e">
        <f t="shared" si="8"/>
        <v>#VALUE!</v>
      </c>
      <c r="Y36" s="4" t="s">
        <v>108</v>
      </c>
      <c r="Z36" t="s">
        <v>10</v>
      </c>
      <c r="AA36" s="6">
        <v>2670.8</v>
      </c>
      <c r="AB36" s="6">
        <v>2507.3000000000002</v>
      </c>
      <c r="AC36" s="4" t="s">
        <v>20</v>
      </c>
      <c r="AD36" t="e">
        <f t="shared" si="9"/>
        <v>#VALUE!</v>
      </c>
      <c r="AE36" t="e">
        <f t="shared" si="10"/>
        <v>#VALUE!</v>
      </c>
      <c r="AG36" s="4" t="s">
        <v>108</v>
      </c>
      <c r="AH36" t="s">
        <v>10</v>
      </c>
      <c r="AI36" s="5">
        <v>3.5834057399999999</v>
      </c>
      <c r="AJ36" s="5">
        <v>2.0021104599999999</v>
      </c>
      <c r="AK36" s="4" t="s">
        <v>20</v>
      </c>
      <c r="AL36" t="e">
        <f t="shared" si="11"/>
        <v>#VALUE!</v>
      </c>
      <c r="AM36" t="e">
        <f t="shared" si="12"/>
        <v>#VALUE!</v>
      </c>
      <c r="BE36">
        <v>0</v>
      </c>
      <c r="BF36">
        <v>0</v>
      </c>
      <c r="BG36">
        <v>0</v>
      </c>
      <c r="BH36">
        <v>0</v>
      </c>
      <c r="BM36" s="4"/>
      <c r="BN36" s="5"/>
      <c r="BP36" s="4"/>
      <c r="BQ36" s="5"/>
      <c r="BU36" s="11" t="s">
        <v>101</v>
      </c>
      <c r="CA36" s="11" t="s">
        <v>101</v>
      </c>
      <c r="CG36" s="11" t="s">
        <v>101</v>
      </c>
      <c r="CM36" s="11" t="s">
        <v>101</v>
      </c>
      <c r="CS36" s="11" t="s">
        <v>101</v>
      </c>
    </row>
    <row r="37" spans="1:97" x14ac:dyDescent="0.3">
      <c r="A37" s="4" t="s">
        <v>109</v>
      </c>
      <c r="B37" t="s">
        <v>10</v>
      </c>
      <c r="C37" s="5">
        <v>9.160095E-2</v>
      </c>
      <c r="D37" s="5">
        <v>3.396267E-2</v>
      </c>
      <c r="E37" s="5">
        <v>3.2800830000000003E-2</v>
      </c>
      <c r="F37">
        <f t="shared" si="3"/>
        <v>-3.4209324531905096E-2</v>
      </c>
      <c r="G37">
        <f t="shared" si="4"/>
        <v>-0.64191604999729801</v>
      </c>
      <c r="I37" s="4" t="s">
        <v>109</v>
      </c>
      <c r="J37" t="s">
        <v>10</v>
      </c>
      <c r="K37" s="6">
        <v>5.2888112899999999</v>
      </c>
      <c r="L37" s="6">
        <v>1.69634328</v>
      </c>
      <c r="M37" s="6">
        <v>1.7191302500000001</v>
      </c>
      <c r="N37">
        <f t="shared" si="5"/>
        <v>1.3432994529267727E-2</v>
      </c>
      <c r="O37">
        <f t="shared" si="6"/>
        <v>-0.6749495953371405</v>
      </c>
      <c r="Q37" s="4" t="s">
        <v>109</v>
      </c>
      <c r="R37" t="s">
        <v>10</v>
      </c>
      <c r="S37" s="6">
        <v>738</v>
      </c>
      <c r="T37" s="6">
        <v>425</v>
      </c>
      <c r="U37" s="6">
        <v>411</v>
      </c>
      <c r="V37">
        <f t="shared" si="7"/>
        <v>-3.2941176470588238E-2</v>
      </c>
      <c r="W37">
        <f t="shared" si="8"/>
        <v>-0.44308943089430897</v>
      </c>
      <c r="Y37" s="4" t="s">
        <v>109</v>
      </c>
      <c r="Z37" t="s">
        <v>10</v>
      </c>
      <c r="AA37" s="6">
        <v>2589.3000000000002</v>
      </c>
      <c r="AB37" s="6">
        <v>2507.3000000000002</v>
      </c>
      <c r="AC37" s="6">
        <v>2389.4</v>
      </c>
      <c r="AD37">
        <f t="shared" si="9"/>
        <v>-4.7022693734295892E-2</v>
      </c>
      <c r="AE37">
        <f t="shared" si="10"/>
        <v>-7.7202332676785265E-2</v>
      </c>
      <c r="AG37" s="4" t="s">
        <v>109</v>
      </c>
      <c r="AH37" t="s">
        <v>10</v>
      </c>
      <c r="AI37" s="5">
        <v>2.9544868200000001</v>
      </c>
      <c r="AJ37" s="5">
        <v>2.0021104599999999</v>
      </c>
      <c r="AK37" s="5">
        <v>1.90798998</v>
      </c>
      <c r="AL37">
        <f t="shared" si="11"/>
        <v>-4.7010632969771288E-2</v>
      </c>
      <c r="AM37">
        <f t="shared" si="12"/>
        <v>-0.3542059598695384</v>
      </c>
      <c r="BE37">
        <v>0</v>
      </c>
      <c r="BF37">
        <v>0</v>
      </c>
      <c r="BG37">
        <v>0</v>
      </c>
      <c r="BH37">
        <v>0</v>
      </c>
      <c r="BM37" s="4"/>
      <c r="BN37" s="5"/>
      <c r="BP37" s="4"/>
      <c r="BQ37" s="5"/>
      <c r="BU37" s="11" t="s">
        <v>97</v>
      </c>
      <c r="CA37" s="11" t="s">
        <v>97</v>
      </c>
      <c r="CG37" s="11" t="s">
        <v>97</v>
      </c>
      <c r="CM37" s="11" t="s">
        <v>97</v>
      </c>
      <c r="CS37" s="11" t="s">
        <v>97</v>
      </c>
    </row>
    <row r="38" spans="1:97" x14ac:dyDescent="0.3">
      <c r="A38" s="4" t="s">
        <v>110</v>
      </c>
      <c r="B38" t="s">
        <v>10</v>
      </c>
      <c r="C38" s="5">
        <v>0.34909253000000001</v>
      </c>
      <c r="D38" s="5">
        <v>0.14849908000000001</v>
      </c>
      <c r="E38" s="5">
        <v>7.9302120000000004E-2</v>
      </c>
      <c r="F38">
        <f t="shared" si="3"/>
        <v>-0.46597568146550133</v>
      </c>
      <c r="G38">
        <f t="shared" si="4"/>
        <v>-0.77283352353600931</v>
      </c>
      <c r="I38" s="4" t="s">
        <v>110</v>
      </c>
      <c r="J38" t="s">
        <v>10</v>
      </c>
      <c r="K38" s="6">
        <v>6.1956308499999997</v>
      </c>
      <c r="L38" s="6">
        <v>5.58771766</v>
      </c>
      <c r="M38" s="6">
        <v>3.45613299</v>
      </c>
      <c r="N38">
        <f t="shared" si="5"/>
        <v>-0.38147680317834815</v>
      </c>
      <c r="O38">
        <f t="shared" si="6"/>
        <v>-0.4421660887042681</v>
      </c>
      <c r="Q38" s="4" t="s">
        <v>110</v>
      </c>
      <c r="R38" t="s">
        <v>10</v>
      </c>
      <c r="S38" s="6">
        <v>2845</v>
      </c>
      <c r="T38" s="6">
        <v>1860</v>
      </c>
      <c r="U38" s="6">
        <v>993</v>
      </c>
      <c r="V38">
        <f t="shared" si="7"/>
        <v>-0.46612903225806451</v>
      </c>
      <c r="W38">
        <f t="shared" si="8"/>
        <v>-0.65096660808435858</v>
      </c>
      <c r="Y38" s="4" t="s">
        <v>110</v>
      </c>
      <c r="Z38" t="s">
        <v>10</v>
      </c>
      <c r="AA38" s="6">
        <v>3911.3</v>
      </c>
      <c r="AB38" s="6">
        <v>3328.2</v>
      </c>
      <c r="AC38" s="6">
        <v>2873.5</v>
      </c>
      <c r="AD38">
        <f t="shared" si="9"/>
        <v>-0.1366203954089297</v>
      </c>
      <c r="AE38">
        <f t="shared" si="10"/>
        <v>-0.2653337764937489</v>
      </c>
      <c r="AG38" s="4" t="s">
        <v>110</v>
      </c>
      <c r="AH38" t="s">
        <v>10</v>
      </c>
      <c r="AI38" s="5">
        <v>2.9339131200000002</v>
      </c>
      <c r="AJ38" s="5">
        <v>2.6575981099999999</v>
      </c>
      <c r="AK38" s="5">
        <v>2.2945331499999999</v>
      </c>
      <c r="AL38">
        <f t="shared" si="11"/>
        <v>-0.1366139442355338</v>
      </c>
      <c r="AM38">
        <f t="shared" si="12"/>
        <v>-0.21792736998292581</v>
      </c>
      <c r="BE38">
        <v>0</v>
      </c>
      <c r="BF38">
        <v>0</v>
      </c>
      <c r="BG38">
        <v>0</v>
      </c>
      <c r="BH38">
        <v>0</v>
      </c>
      <c r="BM38" s="4"/>
      <c r="BN38" s="5"/>
      <c r="BP38" s="4"/>
      <c r="BQ38" s="5"/>
      <c r="BU38" s="11" t="s">
        <v>98</v>
      </c>
      <c r="CA38" s="11" t="s">
        <v>98</v>
      </c>
      <c r="CG38" s="11" t="s">
        <v>98</v>
      </c>
      <c r="CM38" s="11" t="s">
        <v>98</v>
      </c>
      <c r="CS38" s="11" t="s">
        <v>98</v>
      </c>
    </row>
    <row r="39" spans="1:97" x14ac:dyDescent="0.3">
      <c r="A39" s="4" t="s">
        <v>111</v>
      </c>
      <c r="B39" t="s">
        <v>10</v>
      </c>
      <c r="C39" s="5">
        <v>0.34208878999999998</v>
      </c>
      <c r="D39" s="5">
        <v>0.56995814</v>
      </c>
      <c r="E39" s="5">
        <v>0.46813652</v>
      </c>
      <c r="F39">
        <f t="shared" si="3"/>
        <v>-0.17864754067728553</v>
      </c>
      <c r="G39">
        <f t="shared" si="4"/>
        <v>0.36846495320703154</v>
      </c>
      <c r="I39" s="4" t="s">
        <v>111</v>
      </c>
      <c r="J39" t="s">
        <v>10</v>
      </c>
      <c r="K39" s="6">
        <v>9.2264341299999995</v>
      </c>
      <c r="L39" s="6">
        <v>13.764736279999999</v>
      </c>
      <c r="M39" s="6">
        <v>10.880849570000001</v>
      </c>
      <c r="N39">
        <f t="shared" si="5"/>
        <v>-0.20951267436850587</v>
      </c>
      <c r="O39">
        <f t="shared" si="6"/>
        <v>0.17931255094756757</v>
      </c>
      <c r="Q39" s="4" t="s">
        <v>111</v>
      </c>
      <c r="R39" t="s">
        <v>10</v>
      </c>
      <c r="S39" s="6">
        <v>4149</v>
      </c>
      <c r="T39" s="6">
        <v>7138</v>
      </c>
      <c r="U39" s="6">
        <v>5863</v>
      </c>
      <c r="V39">
        <f t="shared" si="7"/>
        <v>-0.1786214625945643</v>
      </c>
      <c r="W39">
        <f t="shared" si="8"/>
        <v>0.41311159315497709</v>
      </c>
      <c r="Y39" s="4" t="s">
        <v>111</v>
      </c>
      <c r="Z39" t="s">
        <v>10</v>
      </c>
      <c r="AA39" s="6">
        <v>2994.5</v>
      </c>
      <c r="AB39" s="6">
        <v>5185.5</v>
      </c>
      <c r="AC39" s="6">
        <v>5388</v>
      </c>
      <c r="AD39">
        <f t="shared" si="9"/>
        <v>3.905120046282904E-2</v>
      </c>
      <c r="AE39">
        <f t="shared" si="10"/>
        <v>0.79929871430956756</v>
      </c>
      <c r="AG39" s="4" t="s">
        <v>111</v>
      </c>
      <c r="AH39" t="s">
        <v>10</v>
      </c>
      <c r="AI39" s="5">
        <v>3.0368498100000001</v>
      </c>
      <c r="AJ39" s="5">
        <v>4.1407124</v>
      </c>
      <c r="AK39" s="5">
        <v>4.3023894</v>
      </c>
      <c r="AL39">
        <f t="shared" si="11"/>
        <v>3.9045696581100409E-2</v>
      </c>
      <c r="AM39">
        <f t="shared" si="12"/>
        <v>0.41672775052382321</v>
      </c>
      <c r="BE39">
        <v>0</v>
      </c>
      <c r="BF39">
        <v>0</v>
      </c>
      <c r="BG39">
        <v>0</v>
      </c>
      <c r="BH39">
        <v>0</v>
      </c>
      <c r="BM39" s="4"/>
      <c r="BN39" s="5"/>
      <c r="BP39" s="4"/>
      <c r="BQ39" s="5"/>
      <c r="BU39" s="11" t="s">
        <v>99</v>
      </c>
      <c r="CA39" s="11" t="s">
        <v>99</v>
      </c>
      <c r="CG39" s="11" t="s">
        <v>99</v>
      </c>
      <c r="CM39" s="11" t="s">
        <v>99</v>
      </c>
      <c r="CS39" s="11" t="s">
        <v>99</v>
      </c>
    </row>
    <row r="40" spans="1:97" x14ac:dyDescent="0.3">
      <c r="A40" s="4" t="s">
        <v>112</v>
      </c>
      <c r="B40" t="s">
        <v>10</v>
      </c>
      <c r="C40" s="5">
        <v>0.32540000000000002</v>
      </c>
      <c r="D40" s="5">
        <v>0.28160287000000001</v>
      </c>
      <c r="E40" s="5">
        <v>0.18436918999999999</v>
      </c>
      <c r="F40">
        <f t="shared" si="3"/>
        <v>-0.34528653774018714</v>
      </c>
      <c r="G40">
        <f t="shared" si="4"/>
        <v>-0.43340752919483722</v>
      </c>
      <c r="I40" s="4" t="s">
        <v>112</v>
      </c>
      <c r="J40" t="s">
        <v>10</v>
      </c>
      <c r="K40" s="6">
        <v>7.7080964500000002</v>
      </c>
      <c r="L40" s="6">
        <v>9.46779875</v>
      </c>
      <c r="M40" s="6">
        <v>6.6543280300000003</v>
      </c>
      <c r="N40">
        <f t="shared" si="5"/>
        <v>-0.29716207476421058</v>
      </c>
      <c r="O40">
        <f t="shared" si="6"/>
        <v>-0.13670929351175931</v>
      </c>
      <c r="Q40" s="4" t="s">
        <v>112</v>
      </c>
      <c r="R40" t="s">
        <v>10</v>
      </c>
      <c r="S40" s="6">
        <v>2968</v>
      </c>
      <c r="T40" s="6">
        <v>3527</v>
      </c>
      <c r="U40" s="6">
        <v>2309</v>
      </c>
      <c r="V40">
        <f t="shared" si="7"/>
        <v>-0.34533597958605045</v>
      </c>
      <c r="W40">
        <f t="shared" si="8"/>
        <v>-0.22203504043126684</v>
      </c>
      <c r="Y40" s="4" t="s">
        <v>112</v>
      </c>
      <c r="Z40" t="s">
        <v>10</v>
      </c>
      <c r="AA40" s="6">
        <v>3520.5</v>
      </c>
      <c r="AB40" s="6">
        <v>3724.8</v>
      </c>
      <c r="AC40" s="6">
        <v>3469.8</v>
      </c>
      <c r="AD40">
        <f t="shared" si="9"/>
        <v>-6.8460051546391745E-2</v>
      </c>
      <c r="AE40">
        <f t="shared" si="10"/>
        <v>-1.4401363442692747E-2</v>
      </c>
      <c r="AG40" s="4" t="s">
        <v>112</v>
      </c>
      <c r="AH40" t="s">
        <v>10</v>
      </c>
      <c r="AI40" s="5">
        <v>2.9646182799999998</v>
      </c>
      <c r="AJ40" s="5">
        <v>2.9743224800000001</v>
      </c>
      <c r="AK40" s="5">
        <v>2.77066576</v>
      </c>
      <c r="AL40">
        <f t="shared" si="11"/>
        <v>-6.8471633916440733E-2</v>
      </c>
      <c r="AM40">
        <f t="shared" si="12"/>
        <v>-6.5422425985985577E-2</v>
      </c>
      <c r="BE40">
        <v>0</v>
      </c>
      <c r="BF40">
        <v>0</v>
      </c>
      <c r="BG40">
        <v>0</v>
      </c>
      <c r="BH40">
        <v>0</v>
      </c>
      <c r="BM40" s="4"/>
      <c r="BN40" s="5"/>
      <c r="BP40" s="4"/>
      <c r="BQ40" s="5"/>
      <c r="BU40" s="11" t="s">
        <v>102</v>
      </c>
      <c r="CA40" s="11" t="s">
        <v>102</v>
      </c>
      <c r="CG40" s="11" t="s">
        <v>102</v>
      </c>
      <c r="CM40" s="11" t="s">
        <v>102</v>
      </c>
      <c r="CS40" s="11" t="s">
        <v>102</v>
      </c>
    </row>
    <row r="41" spans="1:97" x14ac:dyDescent="0.3">
      <c r="A41" s="4" t="s">
        <v>97</v>
      </c>
      <c r="B41" t="s">
        <v>11</v>
      </c>
      <c r="C41" s="5">
        <v>0.86191302999999997</v>
      </c>
      <c r="D41" s="5">
        <v>0.60420280000000004</v>
      </c>
      <c r="E41" s="5">
        <v>0.72961480999999995</v>
      </c>
      <c r="F41">
        <f t="shared" si="3"/>
        <v>0.20756608542694588</v>
      </c>
      <c r="G41">
        <f t="shared" si="4"/>
        <v>-0.15349369993861217</v>
      </c>
      <c r="I41" s="4" t="s">
        <v>97</v>
      </c>
      <c r="J41" t="s">
        <v>11</v>
      </c>
      <c r="K41" s="6">
        <v>12.08404801</v>
      </c>
      <c r="L41" s="6">
        <v>10.96507269</v>
      </c>
      <c r="M41" s="6">
        <v>12.103713750000001</v>
      </c>
      <c r="N41">
        <f t="shared" si="5"/>
        <v>0.10384254552534126</v>
      </c>
      <c r="O41">
        <f t="shared" si="6"/>
        <v>1.6274132628177676E-3</v>
      </c>
      <c r="Q41" s="4" t="s">
        <v>97</v>
      </c>
      <c r="R41" t="s">
        <v>11</v>
      </c>
      <c r="S41" s="6">
        <v>8620</v>
      </c>
      <c r="T41" s="6">
        <v>6913</v>
      </c>
      <c r="U41" s="6">
        <v>8347</v>
      </c>
      <c r="V41">
        <f t="shared" si="7"/>
        <v>0.207435266888471</v>
      </c>
      <c r="W41">
        <f t="shared" si="8"/>
        <v>-3.1670533642691415E-2</v>
      </c>
      <c r="Y41" s="4" t="s">
        <v>97</v>
      </c>
      <c r="Z41" t="s">
        <v>11</v>
      </c>
      <c r="AA41" s="6">
        <v>7776.9</v>
      </c>
      <c r="AB41" s="6">
        <v>6421.3</v>
      </c>
      <c r="AC41" s="6">
        <v>6896.5</v>
      </c>
      <c r="AD41">
        <f t="shared" si="9"/>
        <v>7.4003706414588921E-2</v>
      </c>
      <c r="AE41">
        <f t="shared" si="10"/>
        <v>-0.11320706193984746</v>
      </c>
      <c r="AG41" s="4" t="s">
        <v>97</v>
      </c>
      <c r="AH41" t="s">
        <v>11</v>
      </c>
      <c r="AI41" s="5">
        <v>6.8739600000000003</v>
      </c>
      <c r="AJ41" s="5">
        <v>5.6126216199999996</v>
      </c>
      <c r="AK41" s="5">
        <v>6.0280243100000002</v>
      </c>
      <c r="AL41">
        <f t="shared" si="11"/>
        <v>7.4012238508962686E-2</v>
      </c>
      <c r="AM41">
        <f t="shared" si="12"/>
        <v>-0.12306380747051192</v>
      </c>
      <c r="BE41">
        <v>0</v>
      </c>
      <c r="BF41">
        <v>0</v>
      </c>
      <c r="BG41">
        <v>0</v>
      </c>
      <c r="BH41">
        <v>0</v>
      </c>
      <c r="BM41" s="4"/>
      <c r="BN41" s="5"/>
      <c r="BP41" s="4"/>
      <c r="BQ41" s="5"/>
      <c r="BU41" s="11" t="s">
        <v>103</v>
      </c>
      <c r="CA41" s="11" t="s">
        <v>103</v>
      </c>
      <c r="CG41" s="11" t="s">
        <v>103</v>
      </c>
      <c r="CM41" s="11" t="s">
        <v>103</v>
      </c>
      <c r="CS41" s="11" t="s">
        <v>103</v>
      </c>
    </row>
    <row r="42" spans="1:97" x14ac:dyDescent="0.3">
      <c r="A42" s="4" t="s">
        <v>98</v>
      </c>
      <c r="B42" t="s">
        <v>11</v>
      </c>
      <c r="C42" s="5">
        <v>0.49247421000000002</v>
      </c>
      <c r="D42" s="5">
        <v>0.34059085</v>
      </c>
      <c r="E42" s="5">
        <v>0.21248550999999999</v>
      </c>
      <c r="F42">
        <f t="shared" si="3"/>
        <v>-0.37612678085744233</v>
      </c>
      <c r="G42">
        <f t="shared" si="4"/>
        <v>-0.56853474621544142</v>
      </c>
      <c r="I42" s="4" t="s">
        <v>98</v>
      </c>
      <c r="J42" t="s">
        <v>11</v>
      </c>
      <c r="K42" s="6">
        <v>14.959684810000001</v>
      </c>
      <c r="L42" s="6">
        <v>11.433205259999999</v>
      </c>
      <c r="M42" s="6">
        <v>8.0359718000000004</v>
      </c>
      <c r="N42">
        <f t="shared" si="5"/>
        <v>-0.29713745032510674</v>
      </c>
      <c r="O42">
        <f t="shared" si="6"/>
        <v>-0.46282479196164295</v>
      </c>
      <c r="Q42" s="4" t="s">
        <v>98</v>
      </c>
      <c r="R42" t="s">
        <v>11</v>
      </c>
      <c r="S42" s="6">
        <v>5459</v>
      </c>
      <c r="T42" s="6">
        <v>3897</v>
      </c>
      <c r="U42" s="6">
        <v>2431</v>
      </c>
      <c r="V42">
        <f t="shared" si="7"/>
        <v>-0.37618681036694895</v>
      </c>
      <c r="W42">
        <f t="shared" si="8"/>
        <v>-0.55468034438541858</v>
      </c>
      <c r="Y42" s="4" t="s">
        <v>98</v>
      </c>
      <c r="Z42" t="s">
        <v>11</v>
      </c>
      <c r="AA42" s="6">
        <v>3882.4</v>
      </c>
      <c r="AB42" s="6">
        <v>3408.2</v>
      </c>
      <c r="AC42" s="6">
        <v>3025.1</v>
      </c>
      <c r="AD42">
        <f t="shared" si="9"/>
        <v>-0.11240537527140423</v>
      </c>
      <c r="AE42">
        <f t="shared" si="10"/>
        <v>-0.22081702039975276</v>
      </c>
      <c r="AG42" s="4" t="s">
        <v>98</v>
      </c>
      <c r="AH42" t="s">
        <v>11</v>
      </c>
      <c r="AI42" s="5">
        <v>3.4316146700000001</v>
      </c>
      <c r="AJ42" s="5">
        <v>2.9789620999999999</v>
      </c>
      <c r="AK42" s="5">
        <v>2.6441794199999999</v>
      </c>
      <c r="AL42">
        <f t="shared" si="11"/>
        <v>-0.11238232268883179</v>
      </c>
      <c r="AM42">
        <f t="shared" si="12"/>
        <v>-0.22946493873101437</v>
      </c>
      <c r="BE42">
        <v>0</v>
      </c>
      <c r="BF42">
        <v>0</v>
      </c>
      <c r="BG42">
        <v>0</v>
      </c>
      <c r="BH42">
        <v>0</v>
      </c>
      <c r="BM42" s="4"/>
      <c r="BN42" s="5"/>
      <c r="BP42" s="4"/>
      <c r="BQ42" s="5"/>
      <c r="BU42" s="11" t="s">
        <v>104</v>
      </c>
      <c r="CA42" s="11" t="s">
        <v>104</v>
      </c>
      <c r="CG42" s="11" t="s">
        <v>104</v>
      </c>
      <c r="CM42" s="11" t="s">
        <v>104</v>
      </c>
      <c r="CS42" s="11" t="s">
        <v>104</v>
      </c>
    </row>
    <row r="43" spans="1:97" x14ac:dyDescent="0.3">
      <c r="A43" s="4" t="s">
        <v>99</v>
      </c>
      <c r="B43" t="s">
        <v>11</v>
      </c>
      <c r="C43" s="5">
        <v>0.62381405000000001</v>
      </c>
      <c r="D43" s="5">
        <v>0.44789340999999999</v>
      </c>
      <c r="E43" s="5">
        <v>0.33583593</v>
      </c>
      <c r="F43">
        <f t="shared" si="3"/>
        <v>-0.25018782928732974</v>
      </c>
      <c r="G43">
        <f t="shared" si="4"/>
        <v>-0.46164096496383816</v>
      </c>
      <c r="I43" s="4" t="s">
        <v>99</v>
      </c>
      <c r="J43" t="s">
        <v>11</v>
      </c>
      <c r="K43" s="6">
        <v>13.134359099999999</v>
      </c>
      <c r="L43" s="6">
        <v>13.02064805</v>
      </c>
      <c r="M43" s="6">
        <v>11.05739103</v>
      </c>
      <c r="N43">
        <f t="shared" si="5"/>
        <v>-0.15078028470326407</v>
      </c>
      <c r="O43">
        <f t="shared" si="6"/>
        <v>-0.15813242611891123</v>
      </c>
      <c r="Q43" s="4" t="s">
        <v>99</v>
      </c>
      <c r="R43" t="s">
        <v>11</v>
      </c>
      <c r="S43" s="6">
        <v>7171</v>
      </c>
      <c r="T43" s="6">
        <v>5124</v>
      </c>
      <c r="U43" s="6">
        <v>3842</v>
      </c>
      <c r="V43">
        <f t="shared" si="7"/>
        <v>-0.25019516003122561</v>
      </c>
      <c r="W43">
        <f t="shared" si="8"/>
        <v>-0.46423093013526706</v>
      </c>
      <c r="Y43" s="4" t="s">
        <v>99</v>
      </c>
      <c r="Z43" t="s">
        <v>11</v>
      </c>
      <c r="AA43" s="6">
        <v>4185</v>
      </c>
      <c r="AB43" s="6">
        <v>3935.5</v>
      </c>
      <c r="AC43" s="6">
        <v>3474.8</v>
      </c>
      <c r="AD43">
        <f t="shared" si="9"/>
        <v>-0.11706263498920082</v>
      </c>
      <c r="AE43">
        <f t="shared" si="10"/>
        <v>-0.16970131421744319</v>
      </c>
      <c r="AG43" s="4" t="s">
        <v>99</v>
      </c>
      <c r="AH43" t="s">
        <v>11</v>
      </c>
      <c r="AI43" s="5">
        <v>3.6990823399999999</v>
      </c>
      <c r="AJ43" s="5">
        <v>3.43987036</v>
      </c>
      <c r="AK43" s="5">
        <v>3.0372076899999998</v>
      </c>
      <c r="AL43">
        <f t="shared" si="11"/>
        <v>-0.11705751317907231</v>
      </c>
      <c r="AM43">
        <f t="shared" si="12"/>
        <v>-0.17892941793774728</v>
      </c>
      <c r="BE43">
        <v>0</v>
      </c>
      <c r="BF43">
        <v>0</v>
      </c>
      <c r="BG43">
        <v>0</v>
      </c>
      <c r="BH43">
        <v>0</v>
      </c>
      <c r="BM43" s="4"/>
      <c r="BN43" s="5"/>
      <c r="BP43" s="4"/>
      <c r="BQ43" s="5"/>
      <c r="BU43" s="11" t="s">
        <v>105</v>
      </c>
      <c r="CA43" s="11" t="s">
        <v>105</v>
      </c>
      <c r="CG43" s="11" t="s">
        <v>105</v>
      </c>
      <c r="CM43" s="11" t="s">
        <v>105</v>
      </c>
      <c r="CS43" s="11" t="s">
        <v>105</v>
      </c>
    </row>
    <row r="44" spans="1:97" x14ac:dyDescent="0.3">
      <c r="A44" s="4" t="s">
        <v>100</v>
      </c>
      <c r="B44" t="s">
        <v>11</v>
      </c>
      <c r="C44" s="5">
        <v>0.54556539000000004</v>
      </c>
      <c r="D44" s="5">
        <v>0.64420869999999997</v>
      </c>
      <c r="E44" s="5">
        <v>0.46504915000000002</v>
      </c>
      <c r="F44">
        <f t="shared" si="3"/>
        <v>-0.27810793303474474</v>
      </c>
      <c r="G44">
        <f t="shared" si="4"/>
        <v>-0.14758311556383738</v>
      </c>
      <c r="I44" s="4" t="s">
        <v>100</v>
      </c>
      <c r="J44" t="s">
        <v>11</v>
      </c>
      <c r="K44" s="6">
        <v>15.75776507</v>
      </c>
      <c r="L44" s="6">
        <v>12.02064805</v>
      </c>
      <c r="M44" s="6">
        <v>15.325306579999999</v>
      </c>
      <c r="N44">
        <f t="shared" si="5"/>
        <v>0.27491517231469059</v>
      </c>
      <c r="O44">
        <f t="shared" si="6"/>
        <v>-2.7444151380535853E-2</v>
      </c>
      <c r="Q44" s="4" t="s">
        <v>100</v>
      </c>
      <c r="R44" t="s">
        <v>11</v>
      </c>
      <c r="S44" s="6">
        <v>7304</v>
      </c>
      <c r="T44" s="6">
        <v>7370</v>
      </c>
      <c r="U44" s="6">
        <v>5321</v>
      </c>
      <c r="V44">
        <f t="shared" si="7"/>
        <v>-0.27801899592944368</v>
      </c>
      <c r="W44">
        <f t="shared" si="8"/>
        <v>-0.2714950711938664</v>
      </c>
      <c r="Y44" s="4" t="s">
        <v>100</v>
      </c>
      <c r="Z44" t="s">
        <v>11</v>
      </c>
      <c r="AA44" s="6">
        <v>4358.3999999999996</v>
      </c>
      <c r="AB44" s="6">
        <v>4316.7</v>
      </c>
      <c r="AC44" s="6">
        <v>3471.7</v>
      </c>
      <c r="AD44">
        <f t="shared" si="9"/>
        <v>-0.19575138415919568</v>
      </c>
      <c r="AE44">
        <f t="shared" si="10"/>
        <v>-0.20344621879588837</v>
      </c>
      <c r="AG44" s="4" t="s">
        <v>100</v>
      </c>
      <c r="AH44" t="s">
        <v>11</v>
      </c>
      <c r="AI44" s="5">
        <v>3.85233582</v>
      </c>
      <c r="AJ44" s="5">
        <v>3.77311905</v>
      </c>
      <c r="AK44" s="5">
        <v>3.03451775</v>
      </c>
      <c r="AL44">
        <f t="shared" si="11"/>
        <v>-0.19575351061345389</v>
      </c>
      <c r="AM44">
        <f t="shared" si="12"/>
        <v>-0.21229147930306863</v>
      </c>
      <c r="BE44">
        <v>0</v>
      </c>
      <c r="BF44">
        <v>0</v>
      </c>
      <c r="BG44">
        <v>0</v>
      </c>
      <c r="BH44">
        <v>0</v>
      </c>
      <c r="BM44" s="4"/>
      <c r="BN44" s="5"/>
      <c r="BP44" s="4"/>
      <c r="BQ44" s="5"/>
      <c r="BU44" s="11" t="s">
        <v>106</v>
      </c>
      <c r="CA44" s="11" t="s">
        <v>106</v>
      </c>
      <c r="CG44" s="11" t="s">
        <v>106</v>
      </c>
      <c r="CM44" s="11" t="s">
        <v>106</v>
      </c>
      <c r="CS44" s="11" t="s">
        <v>106</v>
      </c>
    </row>
    <row r="45" spans="1:97" x14ac:dyDescent="0.3">
      <c r="A45" s="4" t="s">
        <v>101</v>
      </c>
      <c r="B45" t="s">
        <v>11</v>
      </c>
      <c r="C45" s="5">
        <v>0.70736043999999998</v>
      </c>
      <c r="D45" s="5">
        <v>1.0565396300000001</v>
      </c>
      <c r="E45" s="5">
        <v>0.63195210000000002</v>
      </c>
      <c r="F45">
        <f t="shared" si="3"/>
        <v>-0.40186616568277711</v>
      </c>
      <c r="G45">
        <f t="shared" si="4"/>
        <v>-0.10660525488250371</v>
      </c>
      <c r="I45" s="4" t="s">
        <v>101</v>
      </c>
      <c r="J45" t="s">
        <v>11</v>
      </c>
      <c r="K45" s="6">
        <v>16.81387651</v>
      </c>
      <c r="L45" s="6">
        <v>19.038900859999998</v>
      </c>
      <c r="M45" s="6">
        <v>14.68372349</v>
      </c>
      <c r="N45">
        <f t="shared" si="5"/>
        <v>-0.22875151260176257</v>
      </c>
      <c r="O45">
        <f t="shared" si="6"/>
        <v>-0.12669017871834007</v>
      </c>
      <c r="Q45" s="4" t="s">
        <v>101</v>
      </c>
      <c r="R45" t="s">
        <v>11</v>
      </c>
      <c r="S45" s="6">
        <v>9021</v>
      </c>
      <c r="T45" s="6">
        <v>12088</v>
      </c>
      <c r="U45" s="6">
        <v>7230</v>
      </c>
      <c r="V45">
        <f t="shared" si="7"/>
        <v>-0.40188616810059563</v>
      </c>
      <c r="W45">
        <f t="shared" si="8"/>
        <v>-0.19853674758895909</v>
      </c>
      <c r="Y45" s="4" t="s">
        <v>101</v>
      </c>
      <c r="Z45" t="s">
        <v>11</v>
      </c>
      <c r="AA45" s="6">
        <v>5462.7</v>
      </c>
      <c r="AB45" s="6">
        <v>5745.4</v>
      </c>
      <c r="AC45" s="6">
        <v>4923.8</v>
      </c>
      <c r="AD45">
        <f t="shared" si="9"/>
        <v>-0.14300135760782531</v>
      </c>
      <c r="AE45">
        <f t="shared" si="10"/>
        <v>-9.865085031211665E-2</v>
      </c>
      <c r="AG45" s="4" t="s">
        <v>101</v>
      </c>
      <c r="AH45" t="s">
        <v>11</v>
      </c>
      <c r="AI45" s="5">
        <v>4.82842678</v>
      </c>
      <c r="AJ45" s="5">
        <v>5.02183855</v>
      </c>
      <c r="AK45" s="5">
        <v>4.3037592299999998</v>
      </c>
      <c r="AL45">
        <f t="shared" si="11"/>
        <v>-0.14299131938441154</v>
      </c>
      <c r="AM45">
        <f t="shared" si="12"/>
        <v>-0.10866221523193528</v>
      </c>
      <c r="BE45">
        <v>0</v>
      </c>
      <c r="BF45">
        <v>0</v>
      </c>
      <c r="BG45">
        <v>0</v>
      </c>
      <c r="BH45">
        <v>0</v>
      </c>
      <c r="BM45" s="4"/>
      <c r="BN45" s="5"/>
      <c r="BP45" s="4"/>
      <c r="BQ45" s="5"/>
      <c r="BU45" s="11" t="s">
        <v>107</v>
      </c>
      <c r="CA45" s="11" t="s">
        <v>107</v>
      </c>
      <c r="CG45" s="11" t="s">
        <v>107</v>
      </c>
      <c r="CM45" s="11" t="s">
        <v>107</v>
      </c>
      <c r="CS45" s="11" t="s">
        <v>107</v>
      </c>
    </row>
    <row r="46" spans="1:97" x14ac:dyDescent="0.3">
      <c r="A46" s="4" t="s">
        <v>102</v>
      </c>
      <c r="B46" t="s">
        <v>11</v>
      </c>
      <c r="C46" s="5">
        <v>0.19926711999999999</v>
      </c>
      <c r="D46" s="5">
        <v>0.23827047000000001</v>
      </c>
      <c r="E46" s="5">
        <v>0.24580055000000001</v>
      </c>
      <c r="F46">
        <f t="shared" si="3"/>
        <v>3.1603076957039594E-2</v>
      </c>
      <c r="G46">
        <f t="shared" si="4"/>
        <v>0.2335228712092593</v>
      </c>
      <c r="I46" s="4" t="s">
        <v>102</v>
      </c>
      <c r="J46" t="s">
        <v>11</v>
      </c>
      <c r="K46" s="6">
        <v>4.3997634799999998</v>
      </c>
      <c r="L46" s="6">
        <v>7.9984390400000001</v>
      </c>
      <c r="M46" s="6">
        <v>9.2959103600000006</v>
      </c>
      <c r="N46">
        <f t="shared" si="5"/>
        <v>0.16221556650133581</v>
      </c>
      <c r="O46">
        <f t="shared" si="6"/>
        <v>1.1128204737041913</v>
      </c>
      <c r="Q46" s="4" t="s">
        <v>102</v>
      </c>
      <c r="R46" t="s">
        <v>11</v>
      </c>
      <c r="S46" s="6">
        <v>1689</v>
      </c>
      <c r="T46" s="6">
        <v>2726</v>
      </c>
      <c r="U46" s="6">
        <v>2812</v>
      </c>
      <c r="V46">
        <f t="shared" si="7"/>
        <v>3.1548055759354363E-2</v>
      </c>
      <c r="W46">
        <f t="shared" si="8"/>
        <v>0.66489046773238603</v>
      </c>
      <c r="Y46" s="4" t="s">
        <v>102</v>
      </c>
      <c r="Z46" t="s">
        <v>11</v>
      </c>
      <c r="AA46" s="6">
        <v>3882.4</v>
      </c>
      <c r="AB46" s="6">
        <v>3408.2</v>
      </c>
      <c r="AC46" s="6">
        <v>3025.1</v>
      </c>
      <c r="AD46">
        <f t="shared" si="9"/>
        <v>-0.11240537527140423</v>
      </c>
      <c r="AE46">
        <f t="shared" si="10"/>
        <v>-0.22081702039975276</v>
      </c>
      <c r="AG46" s="4" t="s">
        <v>102</v>
      </c>
      <c r="AH46" t="s">
        <v>11</v>
      </c>
      <c r="AI46" s="5">
        <v>3.4316146700000001</v>
      </c>
      <c r="AJ46" s="5">
        <v>2.9789620999999999</v>
      </c>
      <c r="AK46" s="5">
        <v>2.6441794199999999</v>
      </c>
      <c r="AL46">
        <f t="shared" si="11"/>
        <v>-0.11238232268883179</v>
      </c>
      <c r="AM46">
        <f t="shared" si="12"/>
        <v>-0.22946493873101437</v>
      </c>
      <c r="BE46">
        <v>0</v>
      </c>
      <c r="BF46">
        <v>0</v>
      </c>
      <c r="BG46">
        <v>0</v>
      </c>
      <c r="BH46">
        <v>0</v>
      </c>
      <c r="BM46" s="4"/>
      <c r="BN46" s="4"/>
      <c r="BP46" s="4"/>
      <c r="BQ46" s="4"/>
      <c r="BU46" s="11" t="s">
        <v>108</v>
      </c>
      <c r="CA46" s="11" t="s">
        <v>108</v>
      </c>
      <c r="CG46" s="11" t="s">
        <v>108</v>
      </c>
      <c r="CM46" s="11" t="s">
        <v>108</v>
      </c>
      <c r="CS46" s="11" t="s">
        <v>108</v>
      </c>
    </row>
    <row r="47" spans="1:97" x14ac:dyDescent="0.3">
      <c r="A47" s="4" t="s">
        <v>103</v>
      </c>
      <c r="B47" t="s">
        <v>11</v>
      </c>
      <c r="C47" s="5">
        <v>0.26882983999999999</v>
      </c>
      <c r="D47" s="5">
        <v>0.34289183000000001</v>
      </c>
      <c r="E47" s="5">
        <v>0.15577827999999999</v>
      </c>
      <c r="F47">
        <f t="shared" si="3"/>
        <v>-0.54569264598692835</v>
      </c>
      <c r="G47">
        <f t="shared" si="4"/>
        <v>-0.42053203617574597</v>
      </c>
      <c r="I47" s="4" t="s">
        <v>103</v>
      </c>
      <c r="J47" t="s">
        <v>11</v>
      </c>
      <c r="K47" s="6">
        <v>4.8825318199999996</v>
      </c>
      <c r="L47" s="6">
        <v>9.0877554099999998</v>
      </c>
      <c r="M47" s="6">
        <v>5.1335431199999997</v>
      </c>
      <c r="N47">
        <f t="shared" si="5"/>
        <v>-0.43511429518105837</v>
      </c>
      <c r="O47">
        <f t="shared" si="6"/>
        <v>5.1410069458594963E-2</v>
      </c>
      <c r="Q47" s="4" t="s">
        <v>103</v>
      </c>
      <c r="R47" t="s">
        <v>11</v>
      </c>
      <c r="S47" s="6">
        <v>1910</v>
      </c>
      <c r="T47" s="6">
        <v>3923</v>
      </c>
      <c r="U47" s="6">
        <v>1782</v>
      </c>
      <c r="V47">
        <f t="shared" si="7"/>
        <v>-0.54575579913331629</v>
      </c>
      <c r="W47">
        <f t="shared" si="8"/>
        <v>-6.7015706806282729E-2</v>
      </c>
      <c r="Y47" s="4" t="s">
        <v>103</v>
      </c>
      <c r="Z47" t="s">
        <v>11</v>
      </c>
      <c r="AA47" s="6">
        <v>4358.3999999999996</v>
      </c>
      <c r="AB47" s="6">
        <v>4316.7</v>
      </c>
      <c r="AC47" s="6">
        <v>3471.7</v>
      </c>
      <c r="AD47">
        <f t="shared" si="9"/>
        <v>-0.19575138415919568</v>
      </c>
      <c r="AE47">
        <f t="shared" si="10"/>
        <v>-0.20344621879588837</v>
      </c>
      <c r="AG47" s="4" t="s">
        <v>103</v>
      </c>
      <c r="AH47" t="s">
        <v>11</v>
      </c>
      <c r="AI47" s="5">
        <v>3.85233582</v>
      </c>
      <c r="AJ47" s="5">
        <v>3.77311905</v>
      </c>
      <c r="AK47" s="5">
        <v>3.03451775</v>
      </c>
      <c r="AL47">
        <f t="shared" si="11"/>
        <v>-0.19575351061345389</v>
      </c>
      <c r="AM47">
        <f t="shared" si="12"/>
        <v>-0.21229147930306863</v>
      </c>
      <c r="BE47">
        <v>0</v>
      </c>
      <c r="BF47">
        <v>0</v>
      </c>
      <c r="BG47">
        <v>0</v>
      </c>
      <c r="BH47">
        <v>0</v>
      </c>
      <c r="BM47" s="4"/>
      <c r="BN47" s="5"/>
      <c r="BP47" s="4"/>
      <c r="BQ47" s="5"/>
      <c r="BU47" s="11" t="s">
        <v>109</v>
      </c>
      <c r="CA47" s="11" t="s">
        <v>109</v>
      </c>
      <c r="CG47" s="11" t="s">
        <v>109</v>
      </c>
      <c r="CM47" s="11" t="s">
        <v>109</v>
      </c>
      <c r="CS47" s="11" t="s">
        <v>109</v>
      </c>
    </row>
    <row r="48" spans="1:97" x14ac:dyDescent="0.3">
      <c r="A48" s="4" t="s">
        <v>104</v>
      </c>
      <c r="B48" t="s">
        <v>11</v>
      </c>
      <c r="C48" s="5">
        <v>0.35828281000000001</v>
      </c>
      <c r="D48" s="5">
        <v>0.38075857000000002</v>
      </c>
      <c r="E48" s="5">
        <v>0.25332407000000001</v>
      </c>
      <c r="F48">
        <f t="shared" si="3"/>
        <v>-0.33468583517371653</v>
      </c>
      <c r="G48">
        <f t="shared" si="4"/>
        <v>-0.29294941613302627</v>
      </c>
      <c r="I48" s="4" t="s">
        <v>104</v>
      </c>
      <c r="J48" t="s">
        <v>11</v>
      </c>
      <c r="K48" s="6">
        <v>4.37897508</v>
      </c>
      <c r="L48" s="6">
        <v>11.06898015</v>
      </c>
      <c r="M48" s="6">
        <v>8.3406898700000003</v>
      </c>
      <c r="N48">
        <f t="shared" si="5"/>
        <v>-0.24648072749502578</v>
      </c>
      <c r="O48">
        <f t="shared" si="6"/>
        <v>0.90471279640166402</v>
      </c>
      <c r="Q48" s="4" t="s">
        <v>104</v>
      </c>
      <c r="R48" t="s">
        <v>11</v>
      </c>
      <c r="S48" s="6">
        <v>1791</v>
      </c>
      <c r="T48" s="6">
        <v>4356</v>
      </c>
      <c r="U48" s="6">
        <v>2898</v>
      </c>
      <c r="V48">
        <f t="shared" si="7"/>
        <v>-0.33471074380165289</v>
      </c>
      <c r="W48">
        <f t="shared" si="8"/>
        <v>0.61809045226130654</v>
      </c>
      <c r="Y48" s="4" t="s">
        <v>104</v>
      </c>
      <c r="Z48" t="s">
        <v>11</v>
      </c>
      <c r="AA48" s="6">
        <v>4185</v>
      </c>
      <c r="AB48" s="6">
        <v>3935.5</v>
      </c>
      <c r="AC48" s="6">
        <v>3474.8</v>
      </c>
      <c r="AD48">
        <f t="shared" si="9"/>
        <v>-0.11706263498920082</v>
      </c>
      <c r="AE48">
        <f t="shared" si="10"/>
        <v>-0.16970131421744319</v>
      </c>
      <c r="AG48" s="4" t="s">
        <v>104</v>
      </c>
      <c r="AH48" t="s">
        <v>11</v>
      </c>
      <c r="AI48" s="5">
        <v>3.6990823399999999</v>
      </c>
      <c r="AJ48" s="5">
        <v>3.43987036</v>
      </c>
      <c r="AK48" s="5">
        <v>3.0372076899999998</v>
      </c>
      <c r="AL48">
        <f t="shared" si="11"/>
        <v>-0.11705751317907231</v>
      </c>
      <c r="AM48">
        <f t="shared" si="12"/>
        <v>-0.17892941793774728</v>
      </c>
      <c r="BE48">
        <v>0</v>
      </c>
      <c r="BF48">
        <v>0</v>
      </c>
      <c r="BG48">
        <v>0</v>
      </c>
      <c r="BH48">
        <v>0</v>
      </c>
      <c r="BM48" s="4"/>
      <c r="BN48" s="5"/>
      <c r="BP48" s="4"/>
      <c r="BQ48" s="5"/>
      <c r="BU48" s="11" t="s">
        <v>110</v>
      </c>
      <c r="CA48" s="11" t="s">
        <v>110</v>
      </c>
      <c r="CG48" s="11" t="s">
        <v>110</v>
      </c>
      <c r="CM48" s="11" t="s">
        <v>110</v>
      </c>
      <c r="CS48" s="11" t="s">
        <v>110</v>
      </c>
    </row>
    <row r="49" spans="1:97" x14ac:dyDescent="0.3">
      <c r="A49" s="4" t="s">
        <v>105</v>
      </c>
      <c r="B49" t="s">
        <v>11</v>
      </c>
      <c r="C49" s="5">
        <v>0.27461099</v>
      </c>
      <c r="D49" s="5">
        <v>0.31770343000000001</v>
      </c>
      <c r="E49" s="5">
        <v>0.36247747000000002</v>
      </c>
      <c r="F49">
        <f t="shared" si="3"/>
        <v>0.14093030094135281</v>
      </c>
      <c r="G49">
        <f t="shared" si="4"/>
        <v>0.31996709235853971</v>
      </c>
      <c r="I49" s="4" t="s">
        <v>105</v>
      </c>
      <c r="J49" t="s">
        <v>11</v>
      </c>
      <c r="K49" s="6">
        <v>4.46673937</v>
      </c>
      <c r="L49" s="6">
        <v>6.3264364799999999</v>
      </c>
      <c r="M49" s="6">
        <v>8.4223454800000006</v>
      </c>
      <c r="N49">
        <f t="shared" si="5"/>
        <v>0.33129377124481946</v>
      </c>
      <c r="O49">
        <f t="shared" si="6"/>
        <v>0.88556904317432794</v>
      </c>
      <c r="Q49" s="4" t="s">
        <v>105</v>
      </c>
      <c r="R49" t="s">
        <v>11</v>
      </c>
      <c r="S49" s="6">
        <v>2428</v>
      </c>
      <c r="T49" s="6">
        <v>3635</v>
      </c>
      <c r="U49" s="6">
        <v>4147</v>
      </c>
      <c r="V49">
        <f t="shared" si="7"/>
        <v>0.14085281980742778</v>
      </c>
      <c r="W49">
        <f t="shared" si="8"/>
        <v>0.70799011532125211</v>
      </c>
      <c r="Y49" s="4" t="s">
        <v>105</v>
      </c>
      <c r="Z49" t="s">
        <v>11</v>
      </c>
      <c r="AA49" s="6">
        <v>5462.7</v>
      </c>
      <c r="AB49" s="6">
        <v>5745.4</v>
      </c>
      <c r="AC49" s="6">
        <v>4923.8</v>
      </c>
      <c r="AD49">
        <f t="shared" si="9"/>
        <v>-0.14300135760782531</v>
      </c>
      <c r="AE49">
        <f t="shared" si="10"/>
        <v>-9.865085031211665E-2</v>
      </c>
      <c r="AG49" s="4" t="s">
        <v>105</v>
      </c>
      <c r="AH49" t="s">
        <v>11</v>
      </c>
      <c r="AI49" s="5">
        <v>4.82842678</v>
      </c>
      <c r="AJ49" s="5">
        <v>5.02183855</v>
      </c>
      <c r="AK49" s="5">
        <v>4.3037592299999998</v>
      </c>
      <c r="AL49">
        <f t="shared" si="11"/>
        <v>-0.14299131938441154</v>
      </c>
      <c r="AM49">
        <f t="shared" si="12"/>
        <v>-0.10866221523193528</v>
      </c>
      <c r="BE49">
        <v>0</v>
      </c>
      <c r="BF49">
        <v>0</v>
      </c>
      <c r="BG49">
        <v>0</v>
      </c>
      <c r="BH49">
        <v>0</v>
      </c>
      <c r="BM49" s="4"/>
      <c r="BN49" s="5"/>
      <c r="BP49" s="4"/>
      <c r="BQ49" s="5"/>
      <c r="BU49" s="11" t="s">
        <v>111</v>
      </c>
      <c r="CA49" s="11" t="s">
        <v>111</v>
      </c>
      <c r="CG49" s="11" t="s">
        <v>111</v>
      </c>
      <c r="CM49" s="11" t="s">
        <v>111</v>
      </c>
      <c r="CS49" s="11" t="s">
        <v>111</v>
      </c>
    </row>
    <row r="50" spans="1:97" x14ac:dyDescent="0.3">
      <c r="A50" s="4" t="s">
        <v>106</v>
      </c>
      <c r="B50" t="s">
        <v>11</v>
      </c>
      <c r="C50" s="5">
        <v>0.35438803000000002</v>
      </c>
      <c r="D50" s="5">
        <v>7.3980969999999993E-2</v>
      </c>
      <c r="E50" s="5">
        <v>7.3216160000000002E-2</v>
      </c>
      <c r="F50">
        <f t="shared" si="3"/>
        <v>-1.0337928794391191E-2</v>
      </c>
      <c r="G50">
        <f t="shared" si="4"/>
        <v>-0.79340114845301057</v>
      </c>
      <c r="I50" s="4" t="s">
        <v>106</v>
      </c>
      <c r="J50" t="s">
        <v>11</v>
      </c>
      <c r="K50" s="6">
        <v>4.4703115100000002</v>
      </c>
      <c r="L50" s="6">
        <v>2.1506906400000001</v>
      </c>
      <c r="M50" s="6">
        <v>2.4106405999999998</v>
      </c>
      <c r="N50">
        <f t="shared" si="5"/>
        <v>0.12086813192249708</v>
      </c>
      <c r="O50">
        <f t="shared" si="6"/>
        <v>-0.46074438110018878</v>
      </c>
      <c r="Q50" s="4" t="s">
        <v>106</v>
      </c>
      <c r="R50" t="s">
        <v>11</v>
      </c>
      <c r="S50" s="6">
        <v>615</v>
      </c>
      <c r="T50" s="6">
        <v>846</v>
      </c>
      <c r="U50" s="6">
        <v>838</v>
      </c>
      <c r="V50">
        <f t="shared" si="7"/>
        <v>-9.4562647754137114E-3</v>
      </c>
      <c r="W50">
        <f t="shared" si="8"/>
        <v>0.36260162601626017</v>
      </c>
      <c r="Y50" s="4" t="s">
        <v>106</v>
      </c>
      <c r="Z50" t="s">
        <v>11</v>
      </c>
      <c r="AA50" s="6">
        <v>4185</v>
      </c>
      <c r="AB50" s="6">
        <v>3935.5</v>
      </c>
      <c r="AC50" s="6">
        <v>3474.8</v>
      </c>
      <c r="AD50">
        <f t="shared" si="9"/>
        <v>-0.11706263498920082</v>
      </c>
      <c r="AE50">
        <f t="shared" si="10"/>
        <v>-0.16970131421744319</v>
      </c>
      <c r="AG50" s="4" t="s">
        <v>106</v>
      </c>
      <c r="AH50" t="s">
        <v>11</v>
      </c>
      <c r="AI50" s="5">
        <v>3.6990823399999999</v>
      </c>
      <c r="AJ50" s="5">
        <v>3.43987036</v>
      </c>
      <c r="AK50" s="5">
        <v>3.0372076899999998</v>
      </c>
      <c r="AL50">
        <f t="shared" si="11"/>
        <v>-0.11705751317907231</v>
      </c>
      <c r="AM50">
        <f t="shared" si="12"/>
        <v>-0.17892941793774728</v>
      </c>
      <c r="BE50">
        <v>0</v>
      </c>
      <c r="BF50">
        <v>0</v>
      </c>
      <c r="BG50">
        <v>0</v>
      </c>
      <c r="BH50">
        <v>0</v>
      </c>
      <c r="BM50" s="4"/>
      <c r="BN50" s="5"/>
      <c r="BP50" s="4"/>
      <c r="BQ50" s="5"/>
      <c r="BU50" s="11" t="s">
        <v>112</v>
      </c>
      <c r="CA50" s="11" t="s">
        <v>112</v>
      </c>
      <c r="CG50" s="11" t="s">
        <v>112</v>
      </c>
      <c r="CM50" s="11" t="s">
        <v>112</v>
      </c>
      <c r="CS50" s="11" t="s">
        <v>112</v>
      </c>
    </row>
    <row r="51" spans="1:97" x14ac:dyDescent="0.3">
      <c r="A51" s="4" t="s">
        <v>107</v>
      </c>
      <c r="B51" t="s">
        <v>11</v>
      </c>
      <c r="C51" s="5">
        <v>0.47609348000000001</v>
      </c>
      <c r="D51" s="5">
        <v>0.47547348</v>
      </c>
      <c r="E51" s="5">
        <v>0.3431322</v>
      </c>
      <c r="F51">
        <f t="shared" si="3"/>
        <v>-0.27833577595116349</v>
      </c>
      <c r="G51">
        <f t="shared" si="4"/>
        <v>-0.27927557420026</v>
      </c>
      <c r="I51" s="4" t="s">
        <v>107</v>
      </c>
      <c r="J51" t="s">
        <v>11</v>
      </c>
      <c r="K51" s="6">
        <v>5.78915164</v>
      </c>
      <c r="L51" s="6">
        <v>9.4681156600000005</v>
      </c>
      <c r="M51" s="6">
        <v>7.9728484100000001</v>
      </c>
      <c r="N51">
        <f t="shared" si="5"/>
        <v>-0.15792659317809815</v>
      </c>
      <c r="O51">
        <f t="shared" si="6"/>
        <v>0.37720496988052643</v>
      </c>
      <c r="Q51" s="4" t="s">
        <v>107</v>
      </c>
      <c r="R51" t="s">
        <v>11</v>
      </c>
      <c r="S51" s="6">
        <v>4255</v>
      </c>
      <c r="T51" s="6">
        <v>5440</v>
      </c>
      <c r="U51" s="6">
        <v>3926</v>
      </c>
      <c r="V51">
        <f t="shared" si="7"/>
        <v>-0.27830882352941178</v>
      </c>
      <c r="W51">
        <f t="shared" si="8"/>
        <v>-7.7320799059929501E-2</v>
      </c>
      <c r="Y51" s="4" t="s">
        <v>107</v>
      </c>
      <c r="Z51" t="s">
        <v>11</v>
      </c>
      <c r="AA51" s="6">
        <v>5462.7</v>
      </c>
      <c r="AB51" s="6">
        <v>5745.4</v>
      </c>
      <c r="AC51" s="6">
        <v>4923.8</v>
      </c>
      <c r="AD51">
        <f t="shared" si="9"/>
        <v>-0.14300135760782531</v>
      </c>
      <c r="AE51">
        <f t="shared" si="10"/>
        <v>-9.865085031211665E-2</v>
      </c>
      <c r="AG51" s="4" t="s">
        <v>107</v>
      </c>
      <c r="AH51" t="s">
        <v>11</v>
      </c>
      <c r="AI51" s="5">
        <v>4.82842678</v>
      </c>
      <c r="AJ51" s="5">
        <v>5.02183855</v>
      </c>
      <c r="AK51" s="5">
        <v>4.3037592299999998</v>
      </c>
      <c r="AL51">
        <f t="shared" si="11"/>
        <v>-0.14299131938441154</v>
      </c>
      <c r="AM51">
        <f t="shared" si="12"/>
        <v>-0.10866221523193528</v>
      </c>
      <c r="BE51">
        <v>0</v>
      </c>
      <c r="BF51">
        <v>0</v>
      </c>
      <c r="BG51">
        <v>0</v>
      </c>
      <c r="BH51">
        <v>0</v>
      </c>
    </row>
    <row r="52" spans="1:97" x14ac:dyDescent="0.3">
      <c r="A52" s="4" t="s">
        <v>108</v>
      </c>
      <c r="B52" t="s">
        <v>11</v>
      </c>
      <c r="C52" s="5">
        <v>0.32660512000000003</v>
      </c>
      <c r="D52" s="4" t="s">
        <v>20</v>
      </c>
      <c r="E52" s="4" t="s">
        <v>20</v>
      </c>
      <c r="F52" t="e">
        <f t="shared" si="3"/>
        <v>#VALUE!</v>
      </c>
      <c r="G52" t="e">
        <f t="shared" si="4"/>
        <v>#VALUE!</v>
      </c>
      <c r="I52" s="4" t="s">
        <v>108</v>
      </c>
      <c r="J52" t="s">
        <v>11</v>
      </c>
      <c r="K52" s="6">
        <v>0.94331202999999997</v>
      </c>
      <c r="L52" s="4" t="s">
        <v>20</v>
      </c>
      <c r="M52" s="4" t="s">
        <v>20</v>
      </c>
      <c r="N52" t="e">
        <f t="shared" si="5"/>
        <v>#VALUE!</v>
      </c>
      <c r="O52" t="e">
        <f t="shared" si="6"/>
        <v>#VALUE!</v>
      </c>
      <c r="Q52" s="4" t="s">
        <v>108</v>
      </c>
      <c r="R52" t="s">
        <v>11</v>
      </c>
      <c r="S52" s="6">
        <v>301</v>
      </c>
      <c r="T52" s="4" t="s">
        <v>20</v>
      </c>
      <c r="U52" s="4" t="s">
        <v>20</v>
      </c>
      <c r="V52" t="e">
        <f t="shared" si="7"/>
        <v>#VALUE!</v>
      </c>
      <c r="W52" t="e">
        <f t="shared" si="8"/>
        <v>#VALUE!</v>
      </c>
      <c r="Y52" s="4" t="s">
        <v>108</v>
      </c>
      <c r="Z52" t="s">
        <v>11</v>
      </c>
      <c r="AA52" s="6">
        <v>6789.8</v>
      </c>
      <c r="AB52" s="4" t="s">
        <v>20</v>
      </c>
      <c r="AC52" s="4" t="s">
        <v>20</v>
      </c>
      <c r="AD52" t="e">
        <f t="shared" si="9"/>
        <v>#VALUE!</v>
      </c>
      <c r="AE52" t="e">
        <f t="shared" si="10"/>
        <v>#VALUE!</v>
      </c>
      <c r="AG52" s="4" t="s">
        <v>108</v>
      </c>
      <c r="AH52" t="s">
        <v>11</v>
      </c>
      <c r="AI52" s="5">
        <v>6.0014442800000003</v>
      </c>
      <c r="AJ52" s="4" t="s">
        <v>20</v>
      </c>
      <c r="AK52" s="4" t="s">
        <v>20</v>
      </c>
      <c r="AL52" t="e">
        <f t="shared" si="11"/>
        <v>#VALUE!</v>
      </c>
      <c r="AM52" t="e">
        <f t="shared" si="12"/>
        <v>#VALUE!</v>
      </c>
      <c r="BE52">
        <v>0</v>
      </c>
      <c r="BF52">
        <v>0</v>
      </c>
      <c r="BG52">
        <v>0</v>
      </c>
      <c r="BH52">
        <v>0</v>
      </c>
    </row>
    <row r="53" spans="1:97" x14ac:dyDescent="0.3">
      <c r="A53" s="4" t="s">
        <v>109</v>
      </c>
      <c r="B53" t="s">
        <v>11</v>
      </c>
      <c r="C53" s="5">
        <v>0.56010238999999995</v>
      </c>
      <c r="D53" s="5">
        <v>4.0263859999999999E-2</v>
      </c>
      <c r="E53" s="5">
        <v>5.8892399999999998E-2</v>
      </c>
      <c r="F53">
        <f t="shared" si="3"/>
        <v>0.46266155306520534</v>
      </c>
      <c r="G53">
        <f t="shared" si="4"/>
        <v>-0.89485422477843746</v>
      </c>
      <c r="I53" s="4" t="s">
        <v>109</v>
      </c>
      <c r="J53" t="s">
        <v>11</v>
      </c>
      <c r="K53" s="6">
        <v>1.9514317800000001</v>
      </c>
      <c r="L53" s="6">
        <v>1.3516071000000001</v>
      </c>
      <c r="M53" s="6">
        <v>2.2272467699999998</v>
      </c>
      <c r="N53">
        <f t="shared" si="5"/>
        <v>0.647850747454641</v>
      </c>
      <c r="O53">
        <f t="shared" si="6"/>
        <v>0.14133980640614541</v>
      </c>
      <c r="Q53" s="4" t="s">
        <v>109</v>
      </c>
      <c r="R53" t="s">
        <v>11</v>
      </c>
      <c r="S53" s="6">
        <v>680</v>
      </c>
      <c r="T53" s="6">
        <v>461</v>
      </c>
      <c r="U53" s="6">
        <v>674</v>
      </c>
      <c r="V53">
        <f t="shared" si="7"/>
        <v>0.46203904555314534</v>
      </c>
      <c r="W53">
        <f t="shared" si="8"/>
        <v>-8.8235294117647058E-3</v>
      </c>
      <c r="Y53" s="4" t="s">
        <v>109</v>
      </c>
      <c r="Z53" t="s">
        <v>11</v>
      </c>
      <c r="AA53" s="6">
        <v>3882.4</v>
      </c>
      <c r="AB53" s="6">
        <v>3408.2</v>
      </c>
      <c r="AC53" s="6">
        <v>3025.1</v>
      </c>
      <c r="AD53">
        <f t="shared" si="9"/>
        <v>-0.11240537527140423</v>
      </c>
      <c r="AE53">
        <f t="shared" si="10"/>
        <v>-0.22081702039975276</v>
      </c>
      <c r="AG53" s="4" t="s">
        <v>109</v>
      </c>
      <c r="AH53" t="s">
        <v>11</v>
      </c>
      <c r="AI53" s="5">
        <v>3.4316146700000001</v>
      </c>
      <c r="AJ53" s="5">
        <v>2.9789620999999999</v>
      </c>
      <c r="AK53" s="5">
        <v>2.6441794199999999</v>
      </c>
      <c r="AL53">
        <f t="shared" si="11"/>
        <v>-0.11238232268883179</v>
      </c>
      <c r="AM53">
        <f t="shared" si="12"/>
        <v>-0.22946493873101437</v>
      </c>
      <c r="BE53">
        <v>0</v>
      </c>
      <c r="BF53">
        <v>0</v>
      </c>
      <c r="BG53">
        <v>0</v>
      </c>
      <c r="BH53">
        <v>0</v>
      </c>
    </row>
    <row r="54" spans="1:97" x14ac:dyDescent="0.3">
      <c r="A54" s="4" t="s">
        <v>110</v>
      </c>
      <c r="B54" t="s">
        <v>11</v>
      </c>
      <c r="C54" s="5">
        <v>0.29797393999999999</v>
      </c>
      <c r="D54" s="5">
        <v>0.20071621000000001</v>
      </c>
      <c r="E54" s="5">
        <v>0.10322940999999999</v>
      </c>
      <c r="F54">
        <f t="shared" si="3"/>
        <v>-0.48569470298387962</v>
      </c>
      <c r="G54">
        <f t="shared" si="4"/>
        <v>-0.65356228803096006</v>
      </c>
      <c r="I54" s="4" t="s">
        <v>110</v>
      </c>
      <c r="J54" t="s">
        <v>11</v>
      </c>
      <c r="K54" s="6">
        <v>4.1390624799999998</v>
      </c>
      <c r="L54" s="6">
        <v>5.3196362800000001</v>
      </c>
      <c r="M54" s="6">
        <v>3.4018391399999999</v>
      </c>
      <c r="N54">
        <f t="shared" si="5"/>
        <v>-0.36051283190361283</v>
      </c>
      <c r="O54">
        <f t="shared" si="6"/>
        <v>-0.17811360508865764</v>
      </c>
      <c r="Q54" s="4" t="s">
        <v>110</v>
      </c>
      <c r="R54" t="s">
        <v>11</v>
      </c>
      <c r="S54" s="6">
        <v>2240</v>
      </c>
      <c r="T54" s="6">
        <v>2296</v>
      </c>
      <c r="U54" s="6">
        <v>1181</v>
      </c>
      <c r="V54">
        <f t="shared" si="7"/>
        <v>-0.48562717770034841</v>
      </c>
      <c r="W54">
        <f t="shared" si="8"/>
        <v>-0.47276785714285713</v>
      </c>
      <c r="Y54" s="4" t="s">
        <v>110</v>
      </c>
      <c r="Z54" t="s">
        <v>11</v>
      </c>
      <c r="AA54" s="6">
        <v>4358.3999999999996</v>
      </c>
      <c r="AB54" s="6">
        <v>4316.7</v>
      </c>
      <c r="AC54" s="6">
        <v>3471.7</v>
      </c>
      <c r="AD54">
        <f t="shared" si="9"/>
        <v>-0.19575138415919568</v>
      </c>
      <c r="AE54">
        <f t="shared" si="10"/>
        <v>-0.20344621879588837</v>
      </c>
      <c r="AG54" s="4" t="s">
        <v>110</v>
      </c>
      <c r="AH54" t="s">
        <v>11</v>
      </c>
      <c r="AI54" s="5">
        <v>3.85233582</v>
      </c>
      <c r="AJ54" s="5">
        <v>3.77311905</v>
      </c>
      <c r="AK54" s="5">
        <v>3.03451775</v>
      </c>
      <c r="AL54">
        <f t="shared" si="11"/>
        <v>-0.19575351061345389</v>
      </c>
      <c r="AM54">
        <f t="shared" si="12"/>
        <v>-0.21229147930306863</v>
      </c>
      <c r="BE54">
        <v>0</v>
      </c>
      <c r="BF54">
        <v>0</v>
      </c>
      <c r="BG54">
        <v>0</v>
      </c>
      <c r="BH54">
        <v>0</v>
      </c>
    </row>
    <row r="55" spans="1:97" x14ac:dyDescent="0.3">
      <c r="A55" s="4" t="s">
        <v>111</v>
      </c>
      <c r="B55" t="s">
        <v>11</v>
      </c>
      <c r="C55" s="5">
        <v>0.49184111000000003</v>
      </c>
      <c r="D55" s="5">
        <v>0.65933005</v>
      </c>
      <c r="E55" s="5">
        <v>0.52854951999999999</v>
      </c>
      <c r="F55">
        <f t="shared" si="3"/>
        <v>-0.19835366217571915</v>
      </c>
      <c r="G55">
        <f t="shared" si="4"/>
        <v>7.4634692492459534E-2</v>
      </c>
      <c r="I55" s="4" t="s">
        <v>111</v>
      </c>
      <c r="J55" t="s">
        <v>11</v>
      </c>
      <c r="K55" s="6">
        <v>6.4002691</v>
      </c>
      <c r="L55" s="6">
        <v>11.88850542</v>
      </c>
      <c r="M55" s="6">
        <v>10.026556530000001</v>
      </c>
      <c r="N55">
        <f t="shared" si="5"/>
        <v>-0.15661757506268598</v>
      </c>
      <c r="O55">
        <f t="shared" si="6"/>
        <v>0.56658358786820395</v>
      </c>
      <c r="Q55" s="4" t="s">
        <v>111</v>
      </c>
      <c r="R55" t="s">
        <v>11</v>
      </c>
      <c r="S55" s="6">
        <v>4433</v>
      </c>
      <c r="T55" s="6">
        <v>7543</v>
      </c>
      <c r="U55" s="6">
        <v>6047</v>
      </c>
      <c r="V55">
        <f t="shared" si="7"/>
        <v>-0.19832957709134297</v>
      </c>
      <c r="W55">
        <f t="shared" si="8"/>
        <v>0.36408752537784794</v>
      </c>
      <c r="Y55" s="4" t="s">
        <v>111</v>
      </c>
      <c r="Z55" t="s">
        <v>11</v>
      </c>
      <c r="AA55" s="6">
        <v>6519.1</v>
      </c>
      <c r="AB55" s="6">
        <v>6345</v>
      </c>
      <c r="AC55" s="6">
        <v>6031</v>
      </c>
      <c r="AD55">
        <f t="shared" si="9"/>
        <v>-4.9487785657998426E-2</v>
      </c>
      <c r="AE55">
        <f t="shared" si="10"/>
        <v>-7.4872298323388251E-2</v>
      </c>
      <c r="AG55" s="4" t="s">
        <v>111</v>
      </c>
      <c r="AH55" t="s">
        <v>11</v>
      </c>
      <c r="AI55" s="5">
        <v>5.7621412400000001</v>
      </c>
      <c r="AJ55" s="5">
        <v>5.5459456200000004</v>
      </c>
      <c r="AK55" s="5">
        <v>5.2714959099999996</v>
      </c>
      <c r="AL55">
        <f t="shared" si="11"/>
        <v>-4.9486549058517584E-2</v>
      </c>
      <c r="AM55">
        <f t="shared" si="12"/>
        <v>-8.5149827045891788E-2</v>
      </c>
      <c r="BE55">
        <v>0</v>
      </c>
      <c r="BF55">
        <v>0</v>
      </c>
      <c r="BG55">
        <v>0</v>
      </c>
      <c r="BH55">
        <v>0</v>
      </c>
    </row>
    <row r="56" spans="1:97" x14ac:dyDescent="0.3">
      <c r="A56" s="4" t="s">
        <v>112</v>
      </c>
      <c r="B56" t="s">
        <v>11</v>
      </c>
      <c r="C56" s="5">
        <v>0.20728421</v>
      </c>
      <c r="D56" s="5">
        <v>0.40760442000000002</v>
      </c>
      <c r="E56" s="5">
        <v>0.27576682000000002</v>
      </c>
      <c r="F56">
        <f t="shared" si="3"/>
        <v>-0.32344497147503942</v>
      </c>
      <c r="G56">
        <f t="shared" si="4"/>
        <v>0.33038025424126627</v>
      </c>
      <c r="I56" s="4" t="s">
        <v>112</v>
      </c>
      <c r="J56" t="s">
        <v>11</v>
      </c>
      <c r="K56" s="6">
        <v>7.34270947</v>
      </c>
      <c r="L56" s="6">
        <v>9.4480453700000009</v>
      </c>
      <c r="M56" s="6">
        <v>7.5144692800000001</v>
      </c>
      <c r="N56">
        <f t="shared" si="5"/>
        <v>-0.2046535568234682</v>
      </c>
      <c r="O56">
        <f t="shared" si="6"/>
        <v>2.3391884249507177E-2</v>
      </c>
      <c r="Q56" s="4" t="s">
        <v>112</v>
      </c>
      <c r="R56" t="s">
        <v>11</v>
      </c>
      <c r="S56" s="6">
        <v>3476</v>
      </c>
      <c r="T56" s="6">
        <v>4663</v>
      </c>
      <c r="U56" s="6">
        <v>3155</v>
      </c>
      <c r="V56">
        <f t="shared" si="7"/>
        <v>-0.32339695475016084</v>
      </c>
      <c r="W56">
        <f t="shared" si="8"/>
        <v>-9.2347525891829693E-2</v>
      </c>
      <c r="Y56" s="4" t="s">
        <v>112</v>
      </c>
      <c r="Z56" t="s">
        <v>11</v>
      </c>
      <c r="AA56" s="6">
        <v>4867.2</v>
      </c>
      <c r="AB56" s="6">
        <v>4935.7</v>
      </c>
      <c r="AC56" s="6">
        <v>4198.6000000000004</v>
      </c>
      <c r="AD56">
        <f t="shared" si="9"/>
        <v>-0.14934051907530838</v>
      </c>
      <c r="AE56">
        <f t="shared" si="10"/>
        <v>-0.13736850756081515</v>
      </c>
      <c r="AG56" s="4" t="s">
        <v>112</v>
      </c>
      <c r="AH56" t="s">
        <v>11</v>
      </c>
      <c r="AI56" s="5">
        <v>4.3020679299999998</v>
      </c>
      <c r="AJ56" s="5">
        <v>4.3141666299999999</v>
      </c>
      <c r="AK56" s="5">
        <v>3.6698109699999999</v>
      </c>
      <c r="AL56">
        <f t="shared" si="11"/>
        <v>-0.14935808355645272</v>
      </c>
      <c r="AM56">
        <f t="shared" si="12"/>
        <v>-0.14696582440993672</v>
      </c>
      <c r="BE56">
        <v>0</v>
      </c>
      <c r="BF56">
        <v>0</v>
      </c>
      <c r="BG56">
        <v>0</v>
      </c>
      <c r="BH56">
        <v>0</v>
      </c>
    </row>
    <row r="57" spans="1:97" x14ac:dyDescent="0.3">
      <c r="A57" s="4" t="s">
        <v>97</v>
      </c>
      <c r="B57" t="s">
        <v>12</v>
      </c>
      <c r="C57" s="5">
        <v>0.88763053000000003</v>
      </c>
      <c r="D57" s="5">
        <v>0.80122886000000004</v>
      </c>
      <c r="E57" s="5">
        <v>0.80870710999999995</v>
      </c>
      <c r="F57">
        <f t="shared" si="3"/>
        <v>9.3334755814960379E-3</v>
      </c>
      <c r="G57">
        <f t="shared" si="4"/>
        <v>-8.891471995673704E-2</v>
      </c>
      <c r="I57" s="4" t="s">
        <v>97</v>
      </c>
      <c r="J57" t="s">
        <v>12</v>
      </c>
      <c r="K57" s="6">
        <v>11.75902831</v>
      </c>
      <c r="L57" s="6">
        <v>13.32854212</v>
      </c>
      <c r="M57" s="6">
        <v>13.07097701</v>
      </c>
      <c r="N57">
        <f t="shared" si="5"/>
        <v>-1.9324327273086625E-2</v>
      </c>
      <c r="O57">
        <f t="shared" si="6"/>
        <v>0.11156948222365495</v>
      </c>
      <c r="Q57" s="4" t="s">
        <v>97</v>
      </c>
      <c r="R57" t="s">
        <v>12</v>
      </c>
      <c r="S57" s="6">
        <v>5054</v>
      </c>
      <c r="T57" s="6">
        <v>4610</v>
      </c>
      <c r="U57" s="6">
        <v>4653</v>
      </c>
      <c r="V57">
        <f t="shared" si="7"/>
        <v>9.3275488069414318E-3</v>
      </c>
      <c r="W57">
        <f t="shared" si="8"/>
        <v>-7.934309457855164E-2</v>
      </c>
      <c r="Y57" s="4" t="s">
        <v>97</v>
      </c>
      <c r="Z57" t="s">
        <v>12</v>
      </c>
      <c r="AA57" s="6">
        <v>4298.3</v>
      </c>
      <c r="AB57" s="6">
        <v>3459</v>
      </c>
      <c r="AC57" s="6">
        <v>3560</v>
      </c>
      <c r="AD57">
        <f t="shared" si="9"/>
        <v>2.9199190517490606E-2</v>
      </c>
      <c r="AE57">
        <f t="shared" si="10"/>
        <v>-0.17176558174161882</v>
      </c>
      <c r="AG57" s="4" t="s">
        <v>97</v>
      </c>
      <c r="AH57" t="s">
        <v>12</v>
      </c>
      <c r="AI57" s="5">
        <v>7.5485023599999996</v>
      </c>
      <c r="AJ57" s="5">
        <v>6.0113765499999996</v>
      </c>
      <c r="AK57" s="5">
        <v>6.1870441200000004</v>
      </c>
      <c r="AL57">
        <f t="shared" si="11"/>
        <v>2.9222519757142944E-2</v>
      </c>
      <c r="AM57">
        <f t="shared" si="12"/>
        <v>-0.18036137170923522</v>
      </c>
      <c r="BE57">
        <v>0</v>
      </c>
      <c r="BF57">
        <v>0</v>
      </c>
      <c r="BG57">
        <v>0</v>
      </c>
      <c r="BH57">
        <v>0</v>
      </c>
    </row>
    <row r="58" spans="1:97" x14ac:dyDescent="0.3">
      <c r="A58" s="4" t="s">
        <v>98</v>
      </c>
      <c r="B58" t="s">
        <v>12</v>
      </c>
      <c r="C58" s="5">
        <v>0.53967847999999996</v>
      </c>
      <c r="D58" s="5">
        <v>0.45006283000000002</v>
      </c>
      <c r="E58" s="5">
        <v>0.29870369000000002</v>
      </c>
      <c r="F58">
        <f t="shared" si="3"/>
        <v>-0.33630668855723989</v>
      </c>
      <c r="G58">
        <f t="shared" si="4"/>
        <v>-0.44651546972930983</v>
      </c>
      <c r="I58" s="4" t="s">
        <v>98</v>
      </c>
      <c r="J58" t="s">
        <v>12</v>
      </c>
      <c r="K58" s="6">
        <v>15.760672359999999</v>
      </c>
      <c r="L58" s="6">
        <v>13.052896069999999</v>
      </c>
      <c r="M58" s="6">
        <v>9.8730363400000005</v>
      </c>
      <c r="N58">
        <f t="shared" si="5"/>
        <v>-0.24361334932470652</v>
      </c>
      <c r="O58">
        <f t="shared" si="6"/>
        <v>-0.37356502854171375</v>
      </c>
      <c r="Q58" s="4" t="s">
        <v>98</v>
      </c>
      <c r="R58" t="s">
        <v>12</v>
      </c>
      <c r="S58" s="6">
        <v>3073</v>
      </c>
      <c r="T58" s="6">
        <v>2590</v>
      </c>
      <c r="U58" s="6">
        <v>1719</v>
      </c>
      <c r="V58">
        <f t="shared" si="7"/>
        <v>-0.33629343629343628</v>
      </c>
      <c r="W58">
        <f t="shared" si="8"/>
        <v>-0.44061178001952489</v>
      </c>
      <c r="Y58" s="4" t="s">
        <v>98</v>
      </c>
      <c r="Z58" t="s">
        <v>12</v>
      </c>
      <c r="AA58" s="6">
        <v>1949.8</v>
      </c>
      <c r="AB58" s="6">
        <v>1984</v>
      </c>
      <c r="AC58" s="6">
        <v>1740.9</v>
      </c>
      <c r="AD58">
        <f t="shared" si="9"/>
        <v>-0.12253024193548383</v>
      </c>
      <c r="AE58">
        <f t="shared" si="10"/>
        <v>-0.10713919376346286</v>
      </c>
      <c r="AG58" s="4" t="s">
        <v>98</v>
      </c>
      <c r="AH58" t="s">
        <v>12</v>
      </c>
      <c r="AI58" s="5">
        <v>3.42420978</v>
      </c>
      <c r="AJ58" s="5">
        <v>3.4479921</v>
      </c>
      <c r="AK58" s="5">
        <v>3.0254491200000002</v>
      </c>
      <c r="AL58">
        <f t="shared" si="11"/>
        <v>-0.12254754876033498</v>
      </c>
      <c r="AM58">
        <f t="shared" si="12"/>
        <v>-0.11645333832321446</v>
      </c>
      <c r="BE58">
        <v>0</v>
      </c>
      <c r="BF58">
        <v>0</v>
      </c>
      <c r="BG58">
        <v>0</v>
      </c>
      <c r="BH58">
        <v>0</v>
      </c>
    </row>
    <row r="59" spans="1:97" x14ac:dyDescent="0.3">
      <c r="A59" s="4" t="s">
        <v>99</v>
      </c>
      <c r="B59" t="s">
        <v>12</v>
      </c>
      <c r="C59" s="5">
        <v>0.80342608000000004</v>
      </c>
      <c r="D59" s="5">
        <v>0.55851289999999998</v>
      </c>
      <c r="E59" s="5">
        <v>0.45252631999999998</v>
      </c>
      <c r="F59">
        <f t="shared" si="3"/>
        <v>-0.18976567953936246</v>
      </c>
      <c r="G59">
        <f t="shared" si="4"/>
        <v>-0.43675425622230241</v>
      </c>
      <c r="I59" s="4" t="s">
        <v>99</v>
      </c>
      <c r="J59" t="s">
        <v>12</v>
      </c>
      <c r="K59" s="6">
        <v>21.017589600000001</v>
      </c>
      <c r="L59" s="6">
        <v>14.25415933</v>
      </c>
      <c r="M59" s="6">
        <v>13.132650440000001</v>
      </c>
      <c r="N59">
        <f t="shared" si="5"/>
        <v>-7.8679413077670388E-2</v>
      </c>
      <c r="O59">
        <f t="shared" si="6"/>
        <v>-0.37515906010458971</v>
      </c>
      <c r="Q59" s="4" t="s">
        <v>99</v>
      </c>
      <c r="R59" t="s">
        <v>12</v>
      </c>
      <c r="S59" s="6">
        <v>4575</v>
      </c>
      <c r="T59" s="6">
        <v>3214</v>
      </c>
      <c r="U59" s="6">
        <v>2604</v>
      </c>
      <c r="V59">
        <f t="shared" si="7"/>
        <v>-0.1897946484131923</v>
      </c>
      <c r="W59">
        <f t="shared" si="8"/>
        <v>-0.43081967213114752</v>
      </c>
      <c r="Y59" s="4" t="s">
        <v>99</v>
      </c>
      <c r="Z59" t="s">
        <v>12</v>
      </c>
      <c r="AA59" s="6">
        <v>2176.6999999999998</v>
      </c>
      <c r="AB59" s="6">
        <v>2254.6</v>
      </c>
      <c r="AC59" s="6">
        <v>1982.7</v>
      </c>
      <c r="AD59">
        <f t="shared" si="9"/>
        <v>-0.12059788876075574</v>
      </c>
      <c r="AE59">
        <f t="shared" si="10"/>
        <v>-8.9125740800293923E-2</v>
      </c>
      <c r="AG59" s="4" t="s">
        <v>99</v>
      </c>
      <c r="AH59" t="s">
        <v>12</v>
      </c>
      <c r="AI59" s="5">
        <v>3.8226366199999999</v>
      </c>
      <c r="AJ59" s="5">
        <v>3.9182451299999999</v>
      </c>
      <c r="AK59" s="5">
        <v>3.4458110199999998</v>
      </c>
      <c r="AL59">
        <f t="shared" si="11"/>
        <v>-0.12057288258532207</v>
      </c>
      <c r="AM59">
        <f t="shared" si="12"/>
        <v>-9.857740545581864E-2</v>
      </c>
      <c r="BE59">
        <v>0</v>
      </c>
      <c r="BF59">
        <v>0</v>
      </c>
      <c r="BG59">
        <v>0</v>
      </c>
      <c r="BH59">
        <v>0</v>
      </c>
    </row>
    <row r="60" spans="1:97" x14ac:dyDescent="0.3">
      <c r="A60" s="4" t="s">
        <v>100</v>
      </c>
      <c r="B60" t="s">
        <v>12</v>
      </c>
      <c r="C60" s="5">
        <v>0.99311676000000004</v>
      </c>
      <c r="D60" s="5">
        <v>0.81723157999999996</v>
      </c>
      <c r="E60" s="5">
        <v>0.59574768</v>
      </c>
      <c r="F60">
        <f t="shared" si="3"/>
        <v>-0.2710173045442027</v>
      </c>
      <c r="G60">
        <f t="shared" si="4"/>
        <v>-0.40012322418161589</v>
      </c>
      <c r="I60" s="4" t="s">
        <v>100</v>
      </c>
      <c r="J60" t="s">
        <v>12</v>
      </c>
      <c r="K60" s="6">
        <v>24.14284434</v>
      </c>
      <c r="L60" s="6">
        <v>18.32970173</v>
      </c>
      <c r="M60" s="6">
        <v>16.668915640000002</v>
      </c>
      <c r="N60">
        <f t="shared" si="5"/>
        <v>-9.060628014921869E-2</v>
      </c>
      <c r="O60">
        <f t="shared" si="6"/>
        <v>-0.30957117540691553</v>
      </c>
      <c r="Q60" s="4" t="s">
        <v>100</v>
      </c>
      <c r="R60" t="s">
        <v>12</v>
      </c>
      <c r="S60" s="6">
        <v>5655</v>
      </c>
      <c r="T60" s="6">
        <v>4702</v>
      </c>
      <c r="U60" s="6">
        <v>3428</v>
      </c>
      <c r="V60">
        <f t="shared" si="7"/>
        <v>-0.27094853253934498</v>
      </c>
      <c r="W60">
        <f t="shared" si="8"/>
        <v>-0.39381078691423521</v>
      </c>
      <c r="Y60" s="4" t="s">
        <v>100</v>
      </c>
      <c r="Z60" t="s">
        <v>12</v>
      </c>
      <c r="AA60" s="6">
        <v>2342.3000000000002</v>
      </c>
      <c r="AB60" s="6">
        <v>2565.4</v>
      </c>
      <c r="AC60" s="6">
        <v>2056.5</v>
      </c>
      <c r="AD60">
        <f t="shared" si="9"/>
        <v>-0.19837062446402123</v>
      </c>
      <c r="AE60">
        <f t="shared" si="10"/>
        <v>-0.12201682107330408</v>
      </c>
      <c r="AG60" s="4" t="s">
        <v>100</v>
      </c>
      <c r="AH60" t="s">
        <v>12</v>
      </c>
      <c r="AI60" s="5">
        <v>4.1135035699999998</v>
      </c>
      <c r="AJ60" s="5">
        <v>4.4585099499999998</v>
      </c>
      <c r="AK60" s="5">
        <v>3.5740037899999999</v>
      </c>
      <c r="AL60">
        <f t="shared" si="11"/>
        <v>-0.19838604599278734</v>
      </c>
      <c r="AM60">
        <f t="shared" si="12"/>
        <v>-0.13115335159414968</v>
      </c>
    </row>
    <row r="61" spans="1:97" x14ac:dyDescent="0.3">
      <c r="A61" s="4" t="s">
        <v>101</v>
      </c>
      <c r="B61" t="s">
        <v>12</v>
      </c>
      <c r="C61" s="5">
        <v>1.09584284</v>
      </c>
      <c r="D61" s="5">
        <v>1.4326850099999999</v>
      </c>
      <c r="E61" s="5">
        <v>0.69938374000000003</v>
      </c>
      <c r="F61">
        <f t="shared" si="3"/>
        <v>-0.51183705062985196</v>
      </c>
      <c r="G61">
        <f t="shared" si="4"/>
        <v>-0.36178463327825361</v>
      </c>
      <c r="I61" s="4" t="s">
        <v>101</v>
      </c>
      <c r="J61" t="s">
        <v>12</v>
      </c>
      <c r="K61" s="6">
        <v>21.278132029999998</v>
      </c>
      <c r="L61" s="6">
        <v>25.00080556</v>
      </c>
      <c r="M61" s="6">
        <v>14.224721280000001</v>
      </c>
      <c r="N61">
        <f t="shared" si="5"/>
        <v>-0.4310294823956064</v>
      </c>
      <c r="O61">
        <f t="shared" si="6"/>
        <v>-0.33148637014073451</v>
      </c>
      <c r="Q61" s="4" t="s">
        <v>101</v>
      </c>
      <c r="R61" t="s">
        <v>12</v>
      </c>
      <c r="S61" s="6">
        <v>6240</v>
      </c>
      <c r="T61" s="6">
        <v>8244</v>
      </c>
      <c r="U61" s="6">
        <v>4024</v>
      </c>
      <c r="V61">
        <f t="shared" si="7"/>
        <v>-0.51188743328481323</v>
      </c>
      <c r="W61">
        <f t="shared" si="8"/>
        <v>-0.35512820512820514</v>
      </c>
      <c r="Y61" s="4" t="s">
        <v>101</v>
      </c>
      <c r="Z61" t="s">
        <v>12</v>
      </c>
      <c r="AA61" s="6">
        <v>2932.6</v>
      </c>
      <c r="AB61" s="6">
        <v>3297.4</v>
      </c>
      <c r="AC61" s="6">
        <v>2829.1</v>
      </c>
      <c r="AD61">
        <f t="shared" si="9"/>
        <v>-0.14202098623157644</v>
      </c>
      <c r="AE61">
        <f t="shared" si="10"/>
        <v>-3.5292914137625316E-2</v>
      </c>
      <c r="AG61" s="4" t="s">
        <v>101</v>
      </c>
      <c r="AH61" t="s">
        <v>12</v>
      </c>
      <c r="AI61" s="5">
        <v>5.1500894800000001</v>
      </c>
      <c r="AJ61" s="5">
        <v>5.7305553700000003</v>
      </c>
      <c r="AK61" s="5">
        <v>4.9166779600000003</v>
      </c>
      <c r="AL61">
        <f t="shared" si="11"/>
        <v>-0.14202417696908143</v>
      </c>
      <c r="AM61">
        <f t="shared" si="12"/>
        <v>-4.5321837786787299E-2</v>
      </c>
    </row>
    <row r="62" spans="1:97" x14ac:dyDescent="0.3">
      <c r="A62" s="4" t="s">
        <v>102</v>
      </c>
      <c r="B62" t="s">
        <v>12</v>
      </c>
      <c r="C62" s="5">
        <v>0.16380502</v>
      </c>
      <c r="D62" s="5">
        <v>0.22470772999999999</v>
      </c>
      <c r="E62" s="5">
        <v>0.20512145000000001</v>
      </c>
      <c r="F62">
        <f t="shared" si="3"/>
        <v>-8.7163356596588748E-2</v>
      </c>
      <c r="G62">
        <f t="shared" si="4"/>
        <v>0.25222932728191122</v>
      </c>
      <c r="I62" s="4" t="s">
        <v>102</v>
      </c>
      <c r="J62" t="s">
        <v>12</v>
      </c>
      <c r="K62" s="6">
        <v>4.7837319799999998</v>
      </c>
      <c r="L62" s="6">
        <v>6.5170603600000003</v>
      </c>
      <c r="M62" s="6">
        <v>6.7798679100000001</v>
      </c>
      <c r="N62">
        <f t="shared" si="5"/>
        <v>4.0326088064650017E-2</v>
      </c>
      <c r="O62">
        <f t="shared" si="6"/>
        <v>0.41727587129578286</v>
      </c>
      <c r="Q62" s="4" t="s">
        <v>102</v>
      </c>
      <c r="R62" t="s">
        <v>12</v>
      </c>
      <c r="S62" s="6">
        <v>933</v>
      </c>
      <c r="T62" s="6">
        <v>1293</v>
      </c>
      <c r="U62" s="6">
        <v>1180</v>
      </c>
      <c r="V62">
        <f t="shared" si="7"/>
        <v>-8.7393658159319418E-2</v>
      </c>
      <c r="W62">
        <f t="shared" si="8"/>
        <v>0.26473740621650588</v>
      </c>
      <c r="Y62" s="4" t="s">
        <v>102</v>
      </c>
      <c r="Z62" t="s">
        <v>12</v>
      </c>
      <c r="AA62" s="6">
        <v>1949.8</v>
      </c>
      <c r="AB62" s="6">
        <v>1984</v>
      </c>
      <c r="AC62" s="6">
        <v>1740.9</v>
      </c>
      <c r="AD62">
        <f t="shared" si="9"/>
        <v>-0.12253024193548383</v>
      </c>
      <c r="AE62">
        <f t="shared" si="10"/>
        <v>-0.10713919376346286</v>
      </c>
      <c r="AG62" s="4" t="s">
        <v>102</v>
      </c>
      <c r="AH62" t="s">
        <v>12</v>
      </c>
      <c r="AI62" s="5">
        <v>3.42420978</v>
      </c>
      <c r="AJ62" s="5">
        <v>3.4479921</v>
      </c>
      <c r="AK62" s="5">
        <v>3.0254491200000002</v>
      </c>
      <c r="AL62">
        <f t="shared" si="11"/>
        <v>-0.12254754876033498</v>
      </c>
      <c r="AM62">
        <f t="shared" si="12"/>
        <v>-0.11645333832321446</v>
      </c>
    </row>
    <row r="63" spans="1:97" x14ac:dyDescent="0.3">
      <c r="A63" s="4" t="s">
        <v>103</v>
      </c>
      <c r="B63" t="s">
        <v>12</v>
      </c>
      <c r="C63" s="5">
        <v>0.24320062000000001</v>
      </c>
      <c r="D63" s="5">
        <v>0.32624091</v>
      </c>
      <c r="E63" s="5">
        <v>0.14332563000000001</v>
      </c>
      <c r="F63">
        <f t="shared" si="3"/>
        <v>-0.56067548364795816</v>
      </c>
      <c r="G63">
        <f t="shared" si="4"/>
        <v>-0.41066914220860123</v>
      </c>
      <c r="I63" s="4" t="s">
        <v>103</v>
      </c>
      <c r="J63" t="s">
        <v>12</v>
      </c>
      <c r="K63" s="6">
        <v>5.9122501400000003</v>
      </c>
      <c r="L63" s="6">
        <v>7.3172633200000003</v>
      </c>
      <c r="M63" s="6">
        <v>4.0102261500000003</v>
      </c>
      <c r="N63">
        <f t="shared" si="5"/>
        <v>-0.45195000171184219</v>
      </c>
      <c r="O63">
        <f t="shared" si="6"/>
        <v>-0.32170898472844384</v>
      </c>
      <c r="Q63" s="4" t="s">
        <v>103</v>
      </c>
      <c r="R63" t="s">
        <v>12</v>
      </c>
      <c r="S63" s="6">
        <v>1385</v>
      </c>
      <c r="T63" s="6">
        <v>1877</v>
      </c>
      <c r="U63" s="6">
        <v>825</v>
      </c>
      <c r="V63">
        <f t="shared" si="7"/>
        <v>-0.56046883324453911</v>
      </c>
      <c r="W63">
        <f t="shared" si="8"/>
        <v>-0.40433212996389889</v>
      </c>
      <c r="Y63" s="4" t="s">
        <v>103</v>
      </c>
      <c r="Z63" t="s">
        <v>12</v>
      </c>
      <c r="AA63" s="6">
        <v>2342.3000000000002</v>
      </c>
      <c r="AB63" s="6">
        <v>2565.4</v>
      </c>
      <c r="AC63" s="6">
        <v>2056.5</v>
      </c>
      <c r="AD63">
        <f t="shared" si="9"/>
        <v>-0.19837062446402123</v>
      </c>
      <c r="AE63">
        <f t="shared" si="10"/>
        <v>-0.12201682107330408</v>
      </c>
      <c r="AG63" s="4" t="s">
        <v>103</v>
      </c>
      <c r="AH63" t="s">
        <v>12</v>
      </c>
      <c r="AI63" s="5">
        <v>4.1135035699999998</v>
      </c>
      <c r="AJ63" s="5">
        <v>4.4585099499999998</v>
      </c>
      <c r="AK63" s="5">
        <v>3.5740037899999999</v>
      </c>
      <c r="AL63">
        <f t="shared" si="11"/>
        <v>-0.19838604599278734</v>
      </c>
      <c r="AM63">
        <f t="shared" si="12"/>
        <v>-0.13115335159414968</v>
      </c>
    </row>
    <row r="64" spans="1:97" x14ac:dyDescent="0.3">
      <c r="A64" s="4" t="s">
        <v>104</v>
      </c>
      <c r="B64" t="s">
        <v>12</v>
      </c>
      <c r="C64" s="5">
        <v>0.20916202</v>
      </c>
      <c r="D64" s="5">
        <v>0.33205857</v>
      </c>
      <c r="E64" s="5">
        <v>0.19210448999999999</v>
      </c>
      <c r="F64">
        <f t="shared" si="3"/>
        <v>-0.42147407910598428</v>
      </c>
      <c r="G64">
        <f t="shared" si="4"/>
        <v>-8.155175590673687E-2</v>
      </c>
      <c r="I64" s="4" t="s">
        <v>104</v>
      </c>
      <c r="J64" t="s">
        <v>12</v>
      </c>
      <c r="K64" s="6">
        <v>5.4716688600000003</v>
      </c>
      <c r="L64" s="6">
        <v>8.4746758799999995</v>
      </c>
      <c r="M64" s="6">
        <v>5.5750152599999998</v>
      </c>
      <c r="N64">
        <f t="shared" si="5"/>
        <v>-0.34215593151392593</v>
      </c>
      <c r="O64">
        <f t="shared" si="6"/>
        <v>1.8887546495275208E-2</v>
      </c>
      <c r="Q64" s="4" t="s">
        <v>104</v>
      </c>
      <c r="R64" t="s">
        <v>12</v>
      </c>
      <c r="S64" s="6">
        <v>1191</v>
      </c>
      <c r="T64" s="6">
        <v>1911</v>
      </c>
      <c r="U64" s="6">
        <v>1105</v>
      </c>
      <c r="V64">
        <f t="shared" si="7"/>
        <v>-0.42176870748299322</v>
      </c>
      <c r="W64">
        <f t="shared" si="8"/>
        <v>-7.2208228379513018E-2</v>
      </c>
      <c r="Y64" s="4" t="s">
        <v>104</v>
      </c>
      <c r="Z64" t="s">
        <v>12</v>
      </c>
      <c r="AA64" s="6">
        <v>2176.6999999999998</v>
      </c>
      <c r="AB64" s="6">
        <v>2254.6</v>
      </c>
      <c r="AC64" s="6">
        <v>1982.7</v>
      </c>
      <c r="AD64">
        <f t="shared" si="9"/>
        <v>-0.12059788876075574</v>
      </c>
      <c r="AE64">
        <f t="shared" si="10"/>
        <v>-8.9125740800293923E-2</v>
      </c>
      <c r="AG64" s="4" t="s">
        <v>104</v>
      </c>
      <c r="AH64" t="s">
        <v>12</v>
      </c>
      <c r="AI64" s="5">
        <v>3.8226366199999999</v>
      </c>
      <c r="AJ64" s="5">
        <v>3.9182451299999999</v>
      </c>
      <c r="AK64" s="5">
        <v>3.4458110199999998</v>
      </c>
      <c r="AL64">
        <f t="shared" si="11"/>
        <v>-0.12057288258532207</v>
      </c>
      <c r="AM64">
        <f t="shared" si="12"/>
        <v>-9.857740545581864E-2</v>
      </c>
    </row>
    <row r="65" spans="1:39" x14ac:dyDescent="0.3">
      <c r="A65" s="4" t="s">
        <v>105</v>
      </c>
      <c r="B65" t="s">
        <v>12</v>
      </c>
      <c r="C65" s="5">
        <v>0.27986028000000002</v>
      </c>
      <c r="D65" s="5">
        <v>0.28470263000000001</v>
      </c>
      <c r="E65" s="5">
        <v>0.31075176999999998</v>
      </c>
      <c r="F65">
        <f t="shared" si="3"/>
        <v>9.1495958432136607E-2</v>
      </c>
      <c r="G65">
        <f t="shared" si="4"/>
        <v>0.11038183053343606</v>
      </c>
      <c r="I65" s="4" t="s">
        <v>105</v>
      </c>
      <c r="J65" t="s">
        <v>12</v>
      </c>
      <c r="K65" s="6">
        <v>5.4340857900000001</v>
      </c>
      <c r="L65" s="6">
        <v>4.9681508399999998</v>
      </c>
      <c r="M65" s="6">
        <v>6.32036044</v>
      </c>
      <c r="N65">
        <f t="shared" si="5"/>
        <v>0.27217563305706721</v>
      </c>
      <c r="O65">
        <f t="shared" si="6"/>
        <v>0.16309544682400015</v>
      </c>
      <c r="Q65" s="4" t="s">
        <v>105</v>
      </c>
      <c r="R65" t="s">
        <v>12</v>
      </c>
      <c r="S65" s="6">
        <v>1594</v>
      </c>
      <c r="T65" s="6">
        <v>1638</v>
      </c>
      <c r="U65" s="6">
        <v>1788</v>
      </c>
      <c r="V65">
        <f t="shared" si="7"/>
        <v>9.1575091575091569E-2</v>
      </c>
      <c r="W65">
        <f t="shared" si="8"/>
        <v>0.12170639899623588</v>
      </c>
      <c r="Y65" s="4" t="s">
        <v>105</v>
      </c>
      <c r="Z65" t="s">
        <v>12</v>
      </c>
      <c r="AA65" s="6">
        <v>2932.6</v>
      </c>
      <c r="AB65" s="6">
        <v>3297.4</v>
      </c>
      <c r="AC65" s="6">
        <v>2829.1</v>
      </c>
      <c r="AD65">
        <f t="shared" si="9"/>
        <v>-0.14202098623157644</v>
      </c>
      <c r="AE65">
        <f t="shared" si="10"/>
        <v>-3.5292914137625316E-2</v>
      </c>
      <c r="AG65" s="4" t="s">
        <v>105</v>
      </c>
      <c r="AH65" t="s">
        <v>12</v>
      </c>
      <c r="AI65" s="5">
        <v>5.1500894800000001</v>
      </c>
      <c r="AJ65" s="5">
        <v>5.7305553700000003</v>
      </c>
      <c r="AK65" s="5">
        <v>4.9166779600000003</v>
      </c>
      <c r="AL65">
        <f t="shared" si="11"/>
        <v>-0.14202417696908143</v>
      </c>
      <c r="AM65">
        <f t="shared" si="12"/>
        <v>-4.5321837786787299E-2</v>
      </c>
    </row>
    <row r="66" spans="1:39" x14ac:dyDescent="0.3">
      <c r="A66" s="4" t="s">
        <v>106</v>
      </c>
      <c r="B66" t="s">
        <v>12</v>
      </c>
      <c r="C66" s="5">
        <v>5.6214409999999999E-2</v>
      </c>
      <c r="D66" s="5">
        <v>6.7431000000000005E-2</v>
      </c>
      <c r="E66" s="5">
        <v>0.10284965</v>
      </c>
      <c r="F66">
        <f t="shared" si="3"/>
        <v>0.52525767080422936</v>
      </c>
      <c r="G66">
        <f t="shared" si="4"/>
        <v>0.82959582783133368</v>
      </c>
      <c r="I66" s="4" t="s">
        <v>106</v>
      </c>
      <c r="J66" t="s">
        <v>12</v>
      </c>
      <c r="K66" s="6">
        <v>1.4705662799999999</v>
      </c>
      <c r="L66" s="6">
        <v>1.72094901</v>
      </c>
      <c r="M66" s="6">
        <v>2.9847735200000001</v>
      </c>
      <c r="N66">
        <f t="shared" si="5"/>
        <v>0.73437649962679608</v>
      </c>
      <c r="O66">
        <f t="shared" si="6"/>
        <v>1.0296762958552268</v>
      </c>
      <c r="Q66" s="4" t="s">
        <v>106</v>
      </c>
      <c r="R66" t="s">
        <v>12</v>
      </c>
      <c r="S66" s="6">
        <v>320</v>
      </c>
      <c r="T66" s="6">
        <v>388</v>
      </c>
      <c r="U66" s="6">
        <v>592</v>
      </c>
      <c r="V66">
        <f t="shared" si="7"/>
        <v>0.52577319587628868</v>
      </c>
      <c r="W66">
        <f t="shared" si="8"/>
        <v>0.85</v>
      </c>
      <c r="Y66" s="4" t="s">
        <v>106</v>
      </c>
      <c r="Z66" t="s">
        <v>12</v>
      </c>
      <c r="AA66" s="6">
        <v>2176.6999999999998</v>
      </c>
      <c r="AB66" s="6">
        <v>2254.6</v>
      </c>
      <c r="AC66" s="6">
        <v>1982.7</v>
      </c>
      <c r="AD66">
        <f t="shared" si="9"/>
        <v>-0.12059788876075574</v>
      </c>
      <c r="AE66">
        <f t="shared" si="10"/>
        <v>-8.9125740800293923E-2</v>
      </c>
      <c r="AG66" s="4" t="s">
        <v>106</v>
      </c>
      <c r="AH66" t="s">
        <v>12</v>
      </c>
      <c r="AI66" s="5">
        <v>3.8226366199999999</v>
      </c>
      <c r="AJ66" s="5">
        <v>3.9182451299999999</v>
      </c>
      <c r="AK66" s="5">
        <v>3.4458110199999998</v>
      </c>
      <c r="AL66">
        <f t="shared" si="11"/>
        <v>-0.12057288258532207</v>
      </c>
      <c r="AM66">
        <f t="shared" si="12"/>
        <v>-9.857740545581864E-2</v>
      </c>
    </row>
    <row r="67" spans="1:39" x14ac:dyDescent="0.3">
      <c r="A67" s="4" t="s">
        <v>107</v>
      </c>
      <c r="B67" t="s">
        <v>12</v>
      </c>
      <c r="C67" s="5">
        <v>0.43063905000000002</v>
      </c>
      <c r="D67" s="5">
        <v>0.60692027999999998</v>
      </c>
      <c r="E67" s="5">
        <v>0.40919581999999999</v>
      </c>
      <c r="F67">
        <f t="shared" si="3"/>
        <v>-0.32578324784269852</v>
      </c>
      <c r="G67">
        <f t="shared" si="4"/>
        <v>-4.9793974791649841E-2</v>
      </c>
      <c r="I67" s="4" t="s">
        <v>107</v>
      </c>
      <c r="J67" t="s">
        <v>12</v>
      </c>
      <c r="K67" s="6">
        <v>8.3617779399999996</v>
      </c>
      <c r="L67" s="6">
        <v>10.59095046</v>
      </c>
      <c r="M67" s="6">
        <v>8.3226076399999993</v>
      </c>
      <c r="N67">
        <f t="shared" si="5"/>
        <v>-0.21417745541980382</v>
      </c>
      <c r="O67">
        <f t="shared" si="6"/>
        <v>-4.68444633199627E-3</v>
      </c>
      <c r="Q67" s="4" t="s">
        <v>107</v>
      </c>
      <c r="R67" t="s">
        <v>12</v>
      </c>
      <c r="S67" s="6">
        <v>2452</v>
      </c>
      <c r="T67" s="6">
        <v>3492</v>
      </c>
      <c r="U67" s="6">
        <v>2355</v>
      </c>
      <c r="V67">
        <f t="shared" si="7"/>
        <v>-0.32560137457044674</v>
      </c>
      <c r="W67">
        <f t="shared" si="8"/>
        <v>-3.9559543230016314E-2</v>
      </c>
      <c r="Y67" s="4" t="s">
        <v>107</v>
      </c>
      <c r="Z67" t="s">
        <v>12</v>
      </c>
      <c r="AA67" s="6">
        <v>2932.6</v>
      </c>
      <c r="AB67" s="6">
        <v>3297.4</v>
      </c>
      <c r="AC67" s="6">
        <v>2829.1</v>
      </c>
      <c r="AD67">
        <f t="shared" si="9"/>
        <v>-0.14202098623157644</v>
      </c>
      <c r="AE67">
        <f t="shared" si="10"/>
        <v>-3.5292914137625316E-2</v>
      </c>
      <c r="AG67" s="4" t="s">
        <v>107</v>
      </c>
      <c r="AH67" t="s">
        <v>12</v>
      </c>
      <c r="AI67" s="5">
        <v>5.1500894800000001</v>
      </c>
      <c r="AJ67" s="5">
        <v>5.7305553700000003</v>
      </c>
      <c r="AK67" s="5">
        <v>4.9166779600000003</v>
      </c>
      <c r="AL67">
        <f t="shared" si="11"/>
        <v>-0.14202417696908143</v>
      </c>
      <c r="AM67">
        <f t="shared" si="12"/>
        <v>-4.5321837786787299E-2</v>
      </c>
    </row>
    <row r="68" spans="1:39" x14ac:dyDescent="0.3">
      <c r="A68" s="4" t="s">
        <v>108</v>
      </c>
      <c r="B68" t="s">
        <v>12</v>
      </c>
      <c r="C68" s="5">
        <v>5.2860160000000003E-2</v>
      </c>
      <c r="D68" s="4" t="s">
        <v>20</v>
      </c>
      <c r="E68" s="4" t="s">
        <v>20</v>
      </c>
      <c r="F68" t="e">
        <f t="shared" si="3"/>
        <v>#VALUE!</v>
      </c>
      <c r="G68" t="e">
        <f t="shared" si="4"/>
        <v>#VALUE!</v>
      </c>
      <c r="I68" s="4" t="s">
        <v>108</v>
      </c>
      <c r="J68" t="s">
        <v>12</v>
      </c>
      <c r="K68" s="6">
        <v>0.76725038999999995</v>
      </c>
      <c r="L68" s="4" t="s">
        <v>20</v>
      </c>
      <c r="M68" s="4" t="s">
        <v>20</v>
      </c>
      <c r="N68" t="e">
        <f t="shared" si="5"/>
        <v>#VALUE!</v>
      </c>
      <c r="O68" t="e">
        <f t="shared" si="6"/>
        <v>#VALUE!</v>
      </c>
      <c r="Q68" s="4" t="s">
        <v>108</v>
      </c>
      <c r="R68" t="s">
        <v>12</v>
      </c>
      <c r="S68" s="6">
        <v>301</v>
      </c>
      <c r="T68" s="4" t="s">
        <v>20</v>
      </c>
      <c r="U68" s="4" t="s">
        <v>20</v>
      </c>
      <c r="V68" t="e">
        <f t="shared" si="7"/>
        <v>#VALUE!</v>
      </c>
      <c r="W68" t="e">
        <f t="shared" si="8"/>
        <v>#VALUE!</v>
      </c>
      <c r="Y68" s="4" t="s">
        <v>108</v>
      </c>
      <c r="Z68" t="s">
        <v>12</v>
      </c>
      <c r="AA68" s="6">
        <v>3923.1</v>
      </c>
      <c r="AB68" s="4" t="s">
        <v>20</v>
      </c>
      <c r="AC68" s="4" t="s">
        <v>20</v>
      </c>
      <c r="AD68" t="e">
        <f t="shared" si="9"/>
        <v>#VALUE!</v>
      </c>
      <c r="AE68" t="e">
        <f t="shared" si="10"/>
        <v>#VALUE!</v>
      </c>
      <c r="AG68" s="4" t="s">
        <v>108</v>
      </c>
      <c r="AH68" t="s">
        <v>12</v>
      </c>
      <c r="AI68" s="5">
        <v>6.8895574000000002</v>
      </c>
      <c r="AJ68" s="4" t="s">
        <v>20</v>
      </c>
      <c r="AK68" s="4" t="s">
        <v>20</v>
      </c>
      <c r="AL68" t="e">
        <f t="shared" si="11"/>
        <v>#VALUE!</v>
      </c>
      <c r="AM68" t="e">
        <f t="shared" si="12"/>
        <v>#VALUE!</v>
      </c>
    </row>
    <row r="69" spans="1:39" x14ac:dyDescent="0.3">
      <c r="A69" s="4" t="s">
        <v>109</v>
      </c>
      <c r="B69" t="s">
        <v>12</v>
      </c>
      <c r="C69" s="5">
        <v>3.7748469999999999E-2</v>
      </c>
      <c r="D69" s="5">
        <v>2.7185290000000001E-2</v>
      </c>
      <c r="E69" s="5">
        <v>6.3047119999999998E-2</v>
      </c>
      <c r="F69">
        <f t="shared" si="3"/>
        <v>1.319163047368632</v>
      </c>
      <c r="G69">
        <f t="shared" si="4"/>
        <v>0.67019007657793817</v>
      </c>
      <c r="I69" s="4" t="s">
        <v>109</v>
      </c>
      <c r="J69" t="s">
        <v>12</v>
      </c>
      <c r="K69" s="6">
        <v>1.1023995600000001</v>
      </c>
      <c r="L69" s="6">
        <v>0.78843841999999997</v>
      </c>
      <c r="M69" s="6">
        <v>2.08389281</v>
      </c>
      <c r="N69">
        <f t="shared" si="5"/>
        <v>1.6430635001272518</v>
      </c>
      <c r="O69">
        <f t="shared" si="6"/>
        <v>0.89032442102934073</v>
      </c>
      <c r="Q69" s="4" t="s">
        <v>109</v>
      </c>
      <c r="R69" t="s">
        <v>12</v>
      </c>
      <c r="S69" s="6">
        <v>215</v>
      </c>
      <c r="T69" s="6">
        <v>156</v>
      </c>
      <c r="U69" s="6">
        <v>363</v>
      </c>
      <c r="V69">
        <f t="shared" si="7"/>
        <v>1.3269230769230769</v>
      </c>
      <c r="W69">
        <f t="shared" si="8"/>
        <v>0.68837209302325586</v>
      </c>
      <c r="Y69" s="4" t="s">
        <v>109</v>
      </c>
      <c r="Z69" t="s">
        <v>12</v>
      </c>
      <c r="AA69" s="6">
        <v>1949.8</v>
      </c>
      <c r="AB69" s="6">
        <v>1984</v>
      </c>
      <c r="AC69" s="6">
        <v>1740.9</v>
      </c>
      <c r="AD69">
        <f t="shared" si="9"/>
        <v>-0.12253024193548383</v>
      </c>
      <c r="AE69">
        <f t="shared" si="10"/>
        <v>-0.10713919376346286</v>
      </c>
      <c r="AG69" s="4" t="s">
        <v>109</v>
      </c>
      <c r="AH69" t="s">
        <v>12</v>
      </c>
      <c r="AI69" s="5">
        <v>3.42420978</v>
      </c>
      <c r="AJ69" s="5">
        <v>3.4479921</v>
      </c>
      <c r="AK69" s="5">
        <v>3.0254491200000002</v>
      </c>
      <c r="AL69">
        <f t="shared" si="11"/>
        <v>-0.12254754876033498</v>
      </c>
      <c r="AM69">
        <f t="shared" si="12"/>
        <v>-0.11645333832321446</v>
      </c>
    </row>
    <row r="70" spans="1:39" x14ac:dyDescent="0.3">
      <c r="A70" s="4" t="s">
        <v>110</v>
      </c>
      <c r="B70" t="s">
        <v>12</v>
      </c>
      <c r="C70" s="5">
        <v>0.11035655</v>
      </c>
      <c r="D70" s="5">
        <v>0.24428095999999999</v>
      </c>
      <c r="E70" s="5">
        <v>0.13619585000000001</v>
      </c>
      <c r="F70">
        <f t="shared" si="3"/>
        <v>-0.44246227786234338</v>
      </c>
      <c r="G70">
        <f t="shared" si="4"/>
        <v>0.23414378213164519</v>
      </c>
      <c r="I70" s="4" t="s">
        <v>110</v>
      </c>
      <c r="J70" t="s">
        <v>12</v>
      </c>
      <c r="K70" s="6">
        <v>2.6827873000000002</v>
      </c>
      <c r="L70" s="6">
        <v>5.4789821600000002</v>
      </c>
      <c r="M70" s="6">
        <v>3.8107359999999999</v>
      </c>
      <c r="N70">
        <f t="shared" si="5"/>
        <v>-0.30448103521475972</v>
      </c>
      <c r="O70">
        <f t="shared" si="6"/>
        <v>0.4204391082364225</v>
      </c>
      <c r="Q70" s="4" t="s">
        <v>110</v>
      </c>
      <c r="R70" t="s">
        <v>12</v>
      </c>
      <c r="S70" s="6">
        <v>628</v>
      </c>
      <c r="T70" s="6">
        <v>1406</v>
      </c>
      <c r="U70" s="6">
        <v>784</v>
      </c>
      <c r="V70">
        <f t="shared" si="7"/>
        <v>-0.44238975817923187</v>
      </c>
      <c r="W70">
        <f t="shared" si="8"/>
        <v>0.24840764331210191</v>
      </c>
      <c r="Y70" s="4" t="s">
        <v>110</v>
      </c>
      <c r="Z70" t="s">
        <v>12</v>
      </c>
      <c r="AA70" s="6">
        <v>2342.3000000000002</v>
      </c>
      <c r="AB70" s="6">
        <v>2565.4</v>
      </c>
      <c r="AC70" s="6">
        <v>2056.5</v>
      </c>
      <c r="AD70">
        <f t="shared" si="9"/>
        <v>-0.19837062446402123</v>
      </c>
      <c r="AE70">
        <f t="shared" si="10"/>
        <v>-0.12201682107330408</v>
      </c>
      <c r="AG70" s="4" t="s">
        <v>110</v>
      </c>
      <c r="AH70" t="s">
        <v>12</v>
      </c>
      <c r="AI70" s="5">
        <v>4.1135035699999998</v>
      </c>
      <c r="AJ70" s="5">
        <v>4.4585099499999998</v>
      </c>
      <c r="AK70" s="5">
        <v>3.5740037899999999</v>
      </c>
      <c r="AL70">
        <f t="shared" si="11"/>
        <v>-0.19838604599278734</v>
      </c>
      <c r="AM70">
        <f t="shared" si="12"/>
        <v>-0.13115335159414968</v>
      </c>
    </row>
    <row r="71" spans="1:39" x14ac:dyDescent="0.3">
      <c r="A71" s="4" t="s">
        <v>111</v>
      </c>
      <c r="B71" t="s">
        <v>12</v>
      </c>
      <c r="C71" s="5">
        <v>0.42132596</v>
      </c>
      <c r="D71" s="5">
        <v>0.69054645000000003</v>
      </c>
      <c r="E71" s="5">
        <v>0.47984847000000003</v>
      </c>
      <c r="F71">
        <f t="shared" si="3"/>
        <v>-0.30511775131129848</v>
      </c>
      <c r="G71">
        <f t="shared" si="4"/>
        <v>0.13890079310565157</v>
      </c>
      <c r="I71" s="4" t="s">
        <v>111</v>
      </c>
      <c r="J71" t="s">
        <v>12</v>
      </c>
      <c r="K71" s="6">
        <v>6.6210593400000004</v>
      </c>
      <c r="L71" s="6">
        <v>10.649653519999999</v>
      </c>
      <c r="M71" s="6">
        <v>8.2162191500000006</v>
      </c>
      <c r="N71">
        <f t="shared" si="5"/>
        <v>-0.22849892397250487</v>
      </c>
      <c r="O71">
        <f t="shared" si="6"/>
        <v>0.24092214373659429</v>
      </c>
      <c r="Q71" s="4" t="s">
        <v>111</v>
      </c>
      <c r="R71" t="s">
        <v>12</v>
      </c>
      <c r="S71" s="6">
        <v>2399</v>
      </c>
      <c r="T71" s="6">
        <v>3973</v>
      </c>
      <c r="U71" s="6">
        <v>2761</v>
      </c>
      <c r="V71">
        <f t="shared" si="7"/>
        <v>-0.30505914925748806</v>
      </c>
      <c r="W71">
        <f t="shared" si="8"/>
        <v>0.15089620675281368</v>
      </c>
      <c r="Y71" s="4" t="s">
        <v>111</v>
      </c>
      <c r="Z71" t="s">
        <v>12</v>
      </c>
      <c r="AA71" s="6">
        <v>3623.5</v>
      </c>
      <c r="AB71" s="6">
        <v>3731</v>
      </c>
      <c r="AC71" s="6">
        <v>3360.5</v>
      </c>
      <c r="AD71">
        <f t="shared" si="9"/>
        <v>-9.9303135888501745E-2</v>
      </c>
      <c r="AE71">
        <f t="shared" si="10"/>
        <v>-7.2581757968814678E-2</v>
      </c>
      <c r="AG71" s="4" t="s">
        <v>111</v>
      </c>
      <c r="AH71" t="s">
        <v>12</v>
      </c>
      <c r="AI71" s="5">
        <v>6.36342213</v>
      </c>
      <c r="AJ71" s="5">
        <v>6.4842151899999996</v>
      </c>
      <c r="AK71" s="5">
        <v>5.8402589100000002</v>
      </c>
      <c r="AL71">
        <f t="shared" si="11"/>
        <v>-9.9311367857302629E-2</v>
      </c>
      <c r="AM71">
        <f t="shared" si="12"/>
        <v>-8.2214130905063784E-2</v>
      </c>
    </row>
    <row r="72" spans="1:39" x14ac:dyDescent="0.3">
      <c r="A72" s="4" t="s">
        <v>112</v>
      </c>
      <c r="B72" t="s">
        <v>12</v>
      </c>
      <c r="C72" s="5">
        <v>0.32875262999999999</v>
      </c>
      <c r="D72" s="5">
        <v>0.46242698999999998</v>
      </c>
      <c r="E72" s="5">
        <v>0.31168154999999997</v>
      </c>
      <c r="F72">
        <f t="shared" si="3"/>
        <v>-0.32598754670439978</v>
      </c>
      <c r="G72">
        <f t="shared" si="4"/>
        <v>-5.1926824129133256E-2</v>
      </c>
      <c r="I72" s="4" t="s">
        <v>112</v>
      </c>
      <c r="J72" t="s">
        <v>12</v>
      </c>
      <c r="K72" s="6">
        <v>7.2109427200000003</v>
      </c>
      <c r="L72" s="6">
        <v>9.3241277100000008</v>
      </c>
      <c r="M72" s="6">
        <v>7.3975765600000001</v>
      </c>
      <c r="N72">
        <f t="shared" si="5"/>
        <v>-0.20661998740469853</v>
      </c>
      <c r="O72">
        <f t="shared" si="6"/>
        <v>2.5882030581432746E-2</v>
      </c>
      <c r="Q72" s="4" t="s">
        <v>112</v>
      </c>
      <c r="R72" t="s">
        <v>12</v>
      </c>
      <c r="S72" s="6">
        <v>1872</v>
      </c>
      <c r="T72" s="6">
        <v>2661</v>
      </c>
      <c r="U72" s="6">
        <v>1793</v>
      </c>
      <c r="V72">
        <f t="shared" si="7"/>
        <v>-0.32619316046599023</v>
      </c>
      <c r="W72">
        <f t="shared" si="8"/>
        <v>-4.2200854700854704E-2</v>
      </c>
      <c r="Y72" s="4" t="s">
        <v>112</v>
      </c>
      <c r="Z72" t="s">
        <v>12</v>
      </c>
      <c r="AA72" s="6">
        <v>2596.1</v>
      </c>
      <c r="AB72" s="6">
        <v>2853.7</v>
      </c>
      <c r="AC72" s="6">
        <v>2424.3000000000002</v>
      </c>
      <c r="AD72">
        <f t="shared" si="9"/>
        <v>-0.1504713179381153</v>
      </c>
      <c r="AE72">
        <f t="shared" si="10"/>
        <v>-6.6176187357959909E-2</v>
      </c>
      <c r="AG72" s="4" t="s">
        <v>112</v>
      </c>
      <c r="AH72" t="s">
        <v>12</v>
      </c>
      <c r="AI72" s="5">
        <v>4.5590797900000002</v>
      </c>
      <c r="AJ72" s="5">
        <v>4.9594664499999999</v>
      </c>
      <c r="AK72" s="5">
        <v>4.2132926800000003</v>
      </c>
      <c r="AL72">
        <f t="shared" si="11"/>
        <v>-0.15045444455017928</v>
      </c>
      <c r="AM72">
        <f t="shared" si="12"/>
        <v>-7.5845812297134593E-2</v>
      </c>
    </row>
    <row r="75" spans="1:39" x14ac:dyDescent="0.3">
      <c r="A75" s="10" t="s">
        <v>53</v>
      </c>
      <c r="B75" t="s">
        <v>42</v>
      </c>
      <c r="D75" s="10" t="s">
        <v>53</v>
      </c>
      <c r="E75" t="s">
        <v>65</v>
      </c>
      <c r="F75" t="s">
        <v>66</v>
      </c>
      <c r="G75" t="s">
        <v>67</v>
      </c>
      <c r="I75" s="10" t="s">
        <v>53</v>
      </c>
      <c r="J75" t="s">
        <v>52</v>
      </c>
      <c r="L75" s="10" t="s">
        <v>53</v>
      </c>
      <c r="M75" t="s">
        <v>65</v>
      </c>
      <c r="N75" t="s">
        <v>66</v>
      </c>
      <c r="O75" t="s">
        <v>67</v>
      </c>
      <c r="Q75" s="10" t="s">
        <v>53</v>
      </c>
      <c r="R75" t="s">
        <v>57</v>
      </c>
      <c r="T75" s="10" t="s">
        <v>53</v>
      </c>
      <c r="U75" t="s">
        <v>65</v>
      </c>
      <c r="V75" t="s">
        <v>66</v>
      </c>
      <c r="W75" t="s">
        <v>67</v>
      </c>
      <c r="Y75" s="10" t="s">
        <v>53</v>
      </c>
      <c r="Z75" t="s">
        <v>58</v>
      </c>
      <c r="AB75" s="10" t="s">
        <v>53</v>
      </c>
      <c r="AC75" t="s">
        <v>65</v>
      </c>
      <c r="AD75" t="s">
        <v>66</v>
      </c>
      <c r="AE75" t="s">
        <v>67</v>
      </c>
      <c r="AG75" s="10" t="s">
        <v>53</v>
      </c>
      <c r="AH75" t="s">
        <v>59</v>
      </c>
      <c r="AJ75" s="10" t="s">
        <v>53</v>
      </c>
      <c r="AK75" t="s">
        <v>65</v>
      </c>
      <c r="AL75" t="s">
        <v>66</v>
      </c>
      <c r="AM75" t="s">
        <v>67</v>
      </c>
    </row>
    <row r="76" spans="1:39" x14ac:dyDescent="0.3">
      <c r="A76" s="11" t="s">
        <v>12</v>
      </c>
      <c r="B76" s="13">
        <v>5.209190340000001</v>
      </c>
      <c r="D76" s="11" t="s">
        <v>12</v>
      </c>
      <c r="E76" s="13">
        <v>6.6536198600000001</v>
      </c>
      <c r="F76" s="13">
        <v>7.3262219900000014</v>
      </c>
      <c r="G76" s="13">
        <v>5.209190340000001</v>
      </c>
      <c r="I76" s="11" t="s">
        <v>12</v>
      </c>
      <c r="J76" s="13">
        <v>122.47157615000002</v>
      </c>
      <c r="L76" s="11" t="s">
        <v>12</v>
      </c>
      <c r="M76" s="13">
        <v>143.77678693999997</v>
      </c>
      <c r="N76" s="13">
        <v>149.79635648999997</v>
      </c>
      <c r="O76" s="13">
        <v>122.47157615000002</v>
      </c>
      <c r="Q76" s="11" t="s">
        <v>12</v>
      </c>
      <c r="R76">
        <v>29974</v>
      </c>
      <c r="T76" s="11" t="s">
        <v>12</v>
      </c>
      <c r="U76">
        <v>37887</v>
      </c>
      <c r="V76">
        <v>42155</v>
      </c>
      <c r="W76">
        <v>29974</v>
      </c>
      <c r="Y76" s="11" t="s">
        <v>12</v>
      </c>
      <c r="Z76">
        <v>35172.400000000001</v>
      </c>
      <c r="AB76" s="11" t="s">
        <v>12</v>
      </c>
      <c r="AC76">
        <v>42645.2</v>
      </c>
      <c r="AD76">
        <v>40347.899999999994</v>
      </c>
      <c r="AE76">
        <v>35172.400000000001</v>
      </c>
      <c r="AG76" s="11" t="s">
        <v>12</v>
      </c>
      <c r="AH76" s="13">
        <v>61.126421380000004</v>
      </c>
      <c r="AJ76" s="11" t="s">
        <v>12</v>
      </c>
      <c r="AK76" s="13">
        <v>74.891880029999996</v>
      </c>
      <c r="AL76" s="13">
        <v>70.120965839999982</v>
      </c>
      <c r="AM76" s="13">
        <v>61.126421380000004</v>
      </c>
    </row>
    <row r="77" spans="1:39" x14ac:dyDescent="0.3">
      <c r="A77" s="12" t="s">
        <v>108</v>
      </c>
      <c r="B77" s="13">
        <v>0</v>
      </c>
      <c r="D77" s="12" t="s">
        <v>100</v>
      </c>
      <c r="E77" s="13">
        <v>0.99311676000000004</v>
      </c>
      <c r="F77" s="13">
        <v>0.81723157999999996</v>
      </c>
      <c r="G77" s="13">
        <v>0.59574768</v>
      </c>
      <c r="I77" s="12" t="s">
        <v>100</v>
      </c>
      <c r="J77" s="13">
        <v>16.668915640000002</v>
      </c>
      <c r="L77" s="12" t="s">
        <v>100</v>
      </c>
      <c r="M77" s="13">
        <v>24.14284434</v>
      </c>
      <c r="N77" s="13">
        <v>18.32970173</v>
      </c>
      <c r="O77" s="13">
        <v>16.668915640000002</v>
      </c>
      <c r="Q77" s="12" t="s">
        <v>100</v>
      </c>
      <c r="R77">
        <v>3428</v>
      </c>
      <c r="T77" s="12" t="s">
        <v>100</v>
      </c>
      <c r="U77">
        <v>5655</v>
      </c>
      <c r="V77">
        <v>4702</v>
      </c>
      <c r="W77">
        <v>3428</v>
      </c>
      <c r="Y77" s="12" t="s">
        <v>100</v>
      </c>
      <c r="Z77">
        <v>2056.5</v>
      </c>
      <c r="AB77" s="12" t="s">
        <v>100</v>
      </c>
      <c r="AC77">
        <v>2342.3000000000002</v>
      </c>
      <c r="AD77">
        <v>2565.4</v>
      </c>
      <c r="AE77">
        <v>2056.5</v>
      </c>
      <c r="AG77" s="12" t="s">
        <v>100</v>
      </c>
      <c r="AH77" s="13">
        <v>3.5740037899999999</v>
      </c>
      <c r="AJ77" s="12" t="s">
        <v>100</v>
      </c>
      <c r="AK77" s="13">
        <v>4.1135035699999998</v>
      </c>
      <c r="AL77" s="13">
        <v>4.4585099499999998</v>
      </c>
      <c r="AM77" s="13">
        <v>3.5740037899999999</v>
      </c>
    </row>
    <row r="78" spans="1:39" x14ac:dyDescent="0.3">
      <c r="A78" s="12" t="s">
        <v>109</v>
      </c>
      <c r="B78" s="13">
        <v>6.3047119999999998E-2</v>
      </c>
      <c r="D78" s="12" t="s">
        <v>101</v>
      </c>
      <c r="E78" s="13">
        <v>1.09584284</v>
      </c>
      <c r="F78" s="13">
        <v>1.4326850099999999</v>
      </c>
      <c r="G78" s="13">
        <v>0.69938374000000003</v>
      </c>
      <c r="I78" s="12" t="s">
        <v>101</v>
      </c>
      <c r="J78" s="13">
        <v>14.224721280000001</v>
      </c>
      <c r="L78" s="12" t="s">
        <v>101</v>
      </c>
      <c r="M78" s="13">
        <v>21.278132029999998</v>
      </c>
      <c r="N78" s="13">
        <v>25.00080556</v>
      </c>
      <c r="O78" s="13">
        <v>14.224721280000001</v>
      </c>
      <c r="Q78" s="12" t="s">
        <v>101</v>
      </c>
      <c r="R78">
        <v>4024</v>
      </c>
      <c r="T78" s="12" t="s">
        <v>101</v>
      </c>
      <c r="U78">
        <v>6240</v>
      </c>
      <c r="V78">
        <v>8244</v>
      </c>
      <c r="W78">
        <v>4024</v>
      </c>
      <c r="Y78" s="12" t="s">
        <v>101</v>
      </c>
      <c r="Z78">
        <v>2829.1</v>
      </c>
      <c r="AB78" s="12" t="s">
        <v>101</v>
      </c>
      <c r="AC78">
        <v>2932.6</v>
      </c>
      <c r="AD78">
        <v>3297.4</v>
      </c>
      <c r="AE78">
        <v>2829.1</v>
      </c>
      <c r="AG78" s="12" t="s">
        <v>101</v>
      </c>
      <c r="AH78" s="13">
        <v>4.9166779600000003</v>
      </c>
      <c r="AJ78" s="12" t="s">
        <v>101</v>
      </c>
      <c r="AK78" s="13">
        <v>5.1500894800000001</v>
      </c>
      <c r="AL78" s="13">
        <v>5.7305553700000003</v>
      </c>
      <c r="AM78" s="13">
        <v>4.9166779600000003</v>
      </c>
    </row>
    <row r="79" spans="1:39" x14ac:dyDescent="0.3">
      <c r="A79" s="12" t="s">
        <v>106</v>
      </c>
      <c r="B79" s="13">
        <v>0.10284965</v>
      </c>
      <c r="D79" s="12" t="s">
        <v>97</v>
      </c>
      <c r="E79" s="13">
        <v>0.88763053000000003</v>
      </c>
      <c r="F79" s="13">
        <v>0.80122886000000004</v>
      </c>
      <c r="G79" s="13">
        <v>0.80870710999999995</v>
      </c>
      <c r="I79" s="12" t="s">
        <v>97</v>
      </c>
      <c r="J79" s="13">
        <v>13.07097701</v>
      </c>
      <c r="L79" s="12" t="s">
        <v>97</v>
      </c>
      <c r="M79" s="13">
        <v>11.75902831</v>
      </c>
      <c r="N79" s="13">
        <v>13.32854212</v>
      </c>
      <c r="O79" s="13">
        <v>13.07097701</v>
      </c>
      <c r="Q79" s="12" t="s">
        <v>97</v>
      </c>
      <c r="R79">
        <v>4653</v>
      </c>
      <c r="T79" s="12" t="s">
        <v>97</v>
      </c>
      <c r="U79">
        <v>5054</v>
      </c>
      <c r="V79">
        <v>4610</v>
      </c>
      <c r="W79">
        <v>4653</v>
      </c>
      <c r="Y79" s="12" t="s">
        <v>97</v>
      </c>
      <c r="Z79">
        <v>3560</v>
      </c>
      <c r="AB79" s="12" t="s">
        <v>97</v>
      </c>
      <c r="AC79">
        <v>4298.3</v>
      </c>
      <c r="AD79">
        <v>3459</v>
      </c>
      <c r="AE79">
        <v>3560</v>
      </c>
      <c r="AG79" s="12" t="s">
        <v>97</v>
      </c>
      <c r="AH79" s="13">
        <v>6.1870441200000004</v>
      </c>
      <c r="AJ79" s="12" t="s">
        <v>97</v>
      </c>
      <c r="AK79" s="13">
        <v>7.5485023599999996</v>
      </c>
      <c r="AL79" s="13">
        <v>6.0113765499999996</v>
      </c>
      <c r="AM79" s="13">
        <v>6.1870441200000004</v>
      </c>
    </row>
    <row r="80" spans="1:39" x14ac:dyDescent="0.3">
      <c r="A80" s="12" t="s">
        <v>110</v>
      </c>
      <c r="B80" s="13">
        <v>0.13619585000000001</v>
      </c>
      <c r="D80" s="12" t="s">
        <v>98</v>
      </c>
      <c r="E80" s="13">
        <v>0.53967847999999996</v>
      </c>
      <c r="F80" s="13">
        <v>0.45006283000000002</v>
      </c>
      <c r="G80" s="13">
        <v>0.29870369000000002</v>
      </c>
      <c r="I80" s="12" t="s">
        <v>98</v>
      </c>
      <c r="J80" s="13">
        <v>9.8730363400000005</v>
      </c>
      <c r="L80" s="12" t="s">
        <v>98</v>
      </c>
      <c r="M80" s="13">
        <v>15.760672359999999</v>
      </c>
      <c r="N80" s="13">
        <v>13.052896069999999</v>
      </c>
      <c r="O80" s="13">
        <v>9.8730363400000005</v>
      </c>
      <c r="Q80" s="12" t="s">
        <v>98</v>
      </c>
      <c r="R80">
        <v>1719</v>
      </c>
      <c r="T80" s="12" t="s">
        <v>98</v>
      </c>
      <c r="U80">
        <v>3073</v>
      </c>
      <c r="V80">
        <v>2590</v>
      </c>
      <c r="W80">
        <v>1719</v>
      </c>
      <c r="Y80" s="12" t="s">
        <v>98</v>
      </c>
      <c r="Z80">
        <v>1740.9</v>
      </c>
      <c r="AB80" s="12" t="s">
        <v>98</v>
      </c>
      <c r="AC80">
        <v>1949.8</v>
      </c>
      <c r="AD80">
        <v>1984</v>
      </c>
      <c r="AE80">
        <v>1740.9</v>
      </c>
      <c r="AG80" s="12" t="s">
        <v>98</v>
      </c>
      <c r="AH80" s="13">
        <v>3.0254491200000002</v>
      </c>
      <c r="AJ80" s="12" t="s">
        <v>98</v>
      </c>
      <c r="AK80" s="13">
        <v>3.42420978</v>
      </c>
      <c r="AL80" s="13">
        <v>3.4479921</v>
      </c>
      <c r="AM80" s="13">
        <v>3.0254491200000002</v>
      </c>
    </row>
    <row r="81" spans="1:39" x14ac:dyDescent="0.3">
      <c r="A81" s="12" t="s">
        <v>103</v>
      </c>
      <c r="B81" s="13">
        <v>0.14332563000000001</v>
      </c>
      <c r="D81" s="12" t="s">
        <v>99</v>
      </c>
      <c r="E81" s="13">
        <v>0.80342608000000004</v>
      </c>
      <c r="F81" s="13">
        <v>0.55851289999999998</v>
      </c>
      <c r="G81" s="13">
        <v>0.45252631999999998</v>
      </c>
      <c r="I81" s="12" t="s">
        <v>99</v>
      </c>
      <c r="J81" s="13">
        <v>13.132650440000001</v>
      </c>
      <c r="L81" s="12" t="s">
        <v>99</v>
      </c>
      <c r="M81" s="13">
        <v>21.017589600000001</v>
      </c>
      <c r="N81" s="13">
        <v>14.25415933</v>
      </c>
      <c r="O81" s="13">
        <v>13.132650440000001</v>
      </c>
      <c r="Q81" s="12" t="s">
        <v>99</v>
      </c>
      <c r="R81">
        <v>2604</v>
      </c>
      <c r="T81" s="12" t="s">
        <v>99</v>
      </c>
      <c r="U81">
        <v>4575</v>
      </c>
      <c r="V81">
        <v>3214</v>
      </c>
      <c r="W81">
        <v>2604</v>
      </c>
      <c r="Y81" s="12" t="s">
        <v>99</v>
      </c>
      <c r="Z81">
        <v>1982.7</v>
      </c>
      <c r="AB81" s="12" t="s">
        <v>99</v>
      </c>
      <c r="AC81">
        <v>2176.6999999999998</v>
      </c>
      <c r="AD81">
        <v>2254.6</v>
      </c>
      <c r="AE81">
        <v>1982.7</v>
      </c>
      <c r="AG81" s="12" t="s">
        <v>99</v>
      </c>
      <c r="AH81" s="13">
        <v>3.4458110199999998</v>
      </c>
      <c r="AJ81" s="12" t="s">
        <v>99</v>
      </c>
      <c r="AK81" s="13">
        <v>3.8226366199999999</v>
      </c>
      <c r="AL81" s="13">
        <v>3.9182451299999999</v>
      </c>
      <c r="AM81" s="13">
        <v>3.4458110199999998</v>
      </c>
    </row>
    <row r="82" spans="1:39" x14ac:dyDescent="0.3">
      <c r="A82" s="12" t="s">
        <v>104</v>
      </c>
      <c r="B82" s="13">
        <v>0.19210448999999999</v>
      </c>
      <c r="D82" s="12" t="s">
        <v>102</v>
      </c>
      <c r="E82" s="13">
        <v>0.16380502</v>
      </c>
      <c r="F82" s="13">
        <v>0.22470772999999999</v>
      </c>
      <c r="G82" s="13">
        <v>0.20512145000000001</v>
      </c>
      <c r="I82" s="12" t="s">
        <v>102</v>
      </c>
      <c r="J82" s="13">
        <v>6.7798679100000001</v>
      </c>
      <c r="L82" s="12" t="s">
        <v>102</v>
      </c>
      <c r="M82" s="13">
        <v>4.7837319799999998</v>
      </c>
      <c r="N82" s="13">
        <v>6.5170603600000003</v>
      </c>
      <c r="O82" s="13">
        <v>6.7798679100000001</v>
      </c>
      <c r="Q82" s="12" t="s">
        <v>102</v>
      </c>
      <c r="R82">
        <v>1180</v>
      </c>
      <c r="T82" s="12" t="s">
        <v>102</v>
      </c>
      <c r="U82">
        <v>933</v>
      </c>
      <c r="V82">
        <v>1293</v>
      </c>
      <c r="W82">
        <v>1180</v>
      </c>
      <c r="Y82" s="12" t="s">
        <v>102</v>
      </c>
      <c r="Z82">
        <v>1740.9</v>
      </c>
      <c r="AB82" s="12" t="s">
        <v>102</v>
      </c>
      <c r="AC82">
        <v>1949.8</v>
      </c>
      <c r="AD82">
        <v>1984</v>
      </c>
      <c r="AE82">
        <v>1740.9</v>
      </c>
      <c r="AG82" s="12" t="s">
        <v>102</v>
      </c>
      <c r="AH82" s="13">
        <v>3.0254491200000002</v>
      </c>
      <c r="AJ82" s="12" t="s">
        <v>102</v>
      </c>
      <c r="AK82" s="13">
        <v>3.42420978</v>
      </c>
      <c r="AL82" s="13">
        <v>3.4479921</v>
      </c>
      <c r="AM82" s="13">
        <v>3.0254491200000002</v>
      </c>
    </row>
    <row r="83" spans="1:39" x14ac:dyDescent="0.3">
      <c r="A83" s="12" t="s">
        <v>102</v>
      </c>
      <c r="B83" s="13">
        <v>0.20512145000000001</v>
      </c>
      <c r="D83" s="12" t="s">
        <v>103</v>
      </c>
      <c r="E83" s="13">
        <v>0.24320062000000001</v>
      </c>
      <c r="F83" s="13">
        <v>0.32624091</v>
      </c>
      <c r="G83" s="13">
        <v>0.14332563000000001</v>
      </c>
      <c r="I83" s="12" t="s">
        <v>103</v>
      </c>
      <c r="J83" s="13">
        <v>4.0102261500000003</v>
      </c>
      <c r="L83" s="12" t="s">
        <v>103</v>
      </c>
      <c r="M83" s="13">
        <v>5.9122501400000003</v>
      </c>
      <c r="N83" s="13">
        <v>7.3172633200000003</v>
      </c>
      <c r="O83" s="13">
        <v>4.0102261500000003</v>
      </c>
      <c r="Q83" s="12" t="s">
        <v>103</v>
      </c>
      <c r="R83">
        <v>825</v>
      </c>
      <c r="T83" s="12" t="s">
        <v>103</v>
      </c>
      <c r="U83">
        <v>1385</v>
      </c>
      <c r="V83">
        <v>1877</v>
      </c>
      <c r="W83">
        <v>825</v>
      </c>
      <c r="Y83" s="12" t="s">
        <v>103</v>
      </c>
      <c r="Z83">
        <v>2056.5</v>
      </c>
      <c r="AB83" s="12" t="s">
        <v>103</v>
      </c>
      <c r="AC83">
        <v>2342.3000000000002</v>
      </c>
      <c r="AD83">
        <v>2565.4</v>
      </c>
      <c r="AE83">
        <v>2056.5</v>
      </c>
      <c r="AG83" s="12" t="s">
        <v>103</v>
      </c>
      <c r="AH83" s="13">
        <v>3.5740037899999999</v>
      </c>
      <c r="AJ83" s="12" t="s">
        <v>103</v>
      </c>
      <c r="AK83" s="13">
        <v>4.1135035699999998</v>
      </c>
      <c r="AL83" s="13">
        <v>4.4585099499999998</v>
      </c>
      <c r="AM83" s="13">
        <v>3.5740037899999999</v>
      </c>
    </row>
    <row r="84" spans="1:39" x14ac:dyDescent="0.3">
      <c r="A84" s="12" t="s">
        <v>98</v>
      </c>
      <c r="B84" s="13">
        <v>0.29870369000000002</v>
      </c>
      <c r="D84" s="12" t="s">
        <v>104</v>
      </c>
      <c r="E84" s="13">
        <v>0.20916202</v>
      </c>
      <c r="F84" s="13">
        <v>0.33205857</v>
      </c>
      <c r="G84" s="13">
        <v>0.19210448999999999</v>
      </c>
      <c r="I84" s="12" t="s">
        <v>104</v>
      </c>
      <c r="J84" s="13">
        <v>5.5750152599999998</v>
      </c>
      <c r="L84" s="12" t="s">
        <v>104</v>
      </c>
      <c r="M84" s="13">
        <v>5.4716688600000003</v>
      </c>
      <c r="N84" s="13">
        <v>8.4746758799999995</v>
      </c>
      <c r="O84" s="13">
        <v>5.5750152599999998</v>
      </c>
      <c r="Q84" s="12" t="s">
        <v>104</v>
      </c>
      <c r="R84">
        <v>1105</v>
      </c>
      <c r="T84" s="12" t="s">
        <v>104</v>
      </c>
      <c r="U84">
        <v>1191</v>
      </c>
      <c r="V84">
        <v>1911</v>
      </c>
      <c r="W84">
        <v>1105</v>
      </c>
      <c r="Y84" s="12" t="s">
        <v>104</v>
      </c>
      <c r="Z84">
        <v>1982.7</v>
      </c>
      <c r="AB84" s="12" t="s">
        <v>104</v>
      </c>
      <c r="AC84">
        <v>2176.6999999999998</v>
      </c>
      <c r="AD84">
        <v>2254.6</v>
      </c>
      <c r="AE84">
        <v>1982.7</v>
      </c>
      <c r="AG84" s="12" t="s">
        <v>104</v>
      </c>
      <c r="AH84" s="13">
        <v>3.4458110199999998</v>
      </c>
      <c r="AJ84" s="12" t="s">
        <v>104</v>
      </c>
      <c r="AK84" s="13">
        <v>3.8226366199999999</v>
      </c>
      <c r="AL84" s="13">
        <v>3.9182451299999999</v>
      </c>
      <c r="AM84" s="13">
        <v>3.4458110199999998</v>
      </c>
    </row>
    <row r="85" spans="1:39" x14ac:dyDescent="0.3">
      <c r="A85" s="12" t="s">
        <v>105</v>
      </c>
      <c r="B85" s="13">
        <v>0.31075176999999998</v>
      </c>
      <c r="D85" s="12" t="s">
        <v>105</v>
      </c>
      <c r="E85" s="13">
        <v>0.27986028000000002</v>
      </c>
      <c r="F85" s="13">
        <v>0.28470263000000001</v>
      </c>
      <c r="G85" s="13">
        <v>0.31075176999999998</v>
      </c>
      <c r="I85" s="12" t="s">
        <v>105</v>
      </c>
      <c r="J85" s="13">
        <v>6.32036044</v>
      </c>
      <c r="L85" s="12" t="s">
        <v>105</v>
      </c>
      <c r="M85" s="13">
        <v>5.4340857900000001</v>
      </c>
      <c r="N85" s="13">
        <v>4.9681508399999998</v>
      </c>
      <c r="O85" s="13">
        <v>6.32036044</v>
      </c>
      <c r="Q85" s="12" t="s">
        <v>105</v>
      </c>
      <c r="R85">
        <v>1788</v>
      </c>
      <c r="T85" s="12" t="s">
        <v>105</v>
      </c>
      <c r="U85">
        <v>1594</v>
      </c>
      <c r="V85">
        <v>1638</v>
      </c>
      <c r="W85">
        <v>1788</v>
      </c>
      <c r="Y85" s="12" t="s">
        <v>105</v>
      </c>
      <c r="Z85">
        <v>2829.1</v>
      </c>
      <c r="AB85" s="12" t="s">
        <v>105</v>
      </c>
      <c r="AC85">
        <v>2932.6</v>
      </c>
      <c r="AD85">
        <v>3297.4</v>
      </c>
      <c r="AE85">
        <v>2829.1</v>
      </c>
      <c r="AG85" s="12" t="s">
        <v>105</v>
      </c>
      <c r="AH85" s="13">
        <v>4.9166779600000003</v>
      </c>
      <c r="AJ85" s="12" t="s">
        <v>105</v>
      </c>
      <c r="AK85" s="13">
        <v>5.1500894800000001</v>
      </c>
      <c r="AL85" s="13">
        <v>5.7305553700000003</v>
      </c>
      <c r="AM85" s="13">
        <v>4.9166779600000003</v>
      </c>
    </row>
    <row r="86" spans="1:39" x14ac:dyDescent="0.3">
      <c r="A86" s="12" t="s">
        <v>112</v>
      </c>
      <c r="B86" s="13">
        <v>0.31168154999999997</v>
      </c>
      <c r="D86" s="12" t="s">
        <v>106</v>
      </c>
      <c r="E86" s="13">
        <v>5.6214409999999999E-2</v>
      </c>
      <c r="F86" s="13">
        <v>6.7431000000000005E-2</v>
      </c>
      <c r="G86" s="13">
        <v>0.10284965</v>
      </c>
      <c r="I86" s="12" t="s">
        <v>106</v>
      </c>
      <c r="J86" s="13">
        <v>2.9847735200000001</v>
      </c>
      <c r="L86" s="12" t="s">
        <v>106</v>
      </c>
      <c r="M86" s="13">
        <v>1.4705662799999999</v>
      </c>
      <c r="N86" s="13">
        <v>1.72094901</v>
      </c>
      <c r="O86" s="13">
        <v>2.9847735200000001</v>
      </c>
      <c r="Q86" s="12" t="s">
        <v>106</v>
      </c>
      <c r="R86">
        <v>592</v>
      </c>
      <c r="T86" s="12" t="s">
        <v>106</v>
      </c>
      <c r="U86">
        <v>320</v>
      </c>
      <c r="V86">
        <v>388</v>
      </c>
      <c r="W86">
        <v>592</v>
      </c>
      <c r="Y86" s="12" t="s">
        <v>106</v>
      </c>
      <c r="Z86">
        <v>1982.7</v>
      </c>
      <c r="AB86" s="12" t="s">
        <v>106</v>
      </c>
      <c r="AC86">
        <v>2176.6999999999998</v>
      </c>
      <c r="AD86">
        <v>2254.6</v>
      </c>
      <c r="AE86">
        <v>1982.7</v>
      </c>
      <c r="AG86" s="12" t="s">
        <v>106</v>
      </c>
      <c r="AH86" s="13">
        <v>3.4458110199999998</v>
      </c>
      <c r="AJ86" s="12" t="s">
        <v>106</v>
      </c>
      <c r="AK86" s="13">
        <v>3.8226366199999999</v>
      </c>
      <c r="AL86" s="13">
        <v>3.9182451299999999</v>
      </c>
      <c r="AM86" s="13">
        <v>3.4458110199999998</v>
      </c>
    </row>
    <row r="87" spans="1:39" x14ac:dyDescent="0.3">
      <c r="A87" s="12" t="s">
        <v>107</v>
      </c>
      <c r="B87" s="13">
        <v>0.40919581999999999</v>
      </c>
      <c r="D87" s="12" t="s">
        <v>107</v>
      </c>
      <c r="E87" s="13">
        <v>0.43063905000000002</v>
      </c>
      <c r="F87" s="13">
        <v>0.60692027999999998</v>
      </c>
      <c r="G87" s="13">
        <v>0.40919581999999999</v>
      </c>
      <c r="I87" s="12" t="s">
        <v>107</v>
      </c>
      <c r="J87" s="13">
        <v>8.3226076399999993</v>
      </c>
      <c r="L87" s="12" t="s">
        <v>107</v>
      </c>
      <c r="M87" s="13">
        <v>8.3617779399999996</v>
      </c>
      <c r="N87" s="13">
        <v>10.59095046</v>
      </c>
      <c r="O87" s="13">
        <v>8.3226076399999993</v>
      </c>
      <c r="Q87" s="12" t="s">
        <v>107</v>
      </c>
      <c r="R87">
        <v>2355</v>
      </c>
      <c r="T87" s="12" t="s">
        <v>107</v>
      </c>
      <c r="U87">
        <v>2452</v>
      </c>
      <c r="V87">
        <v>3492</v>
      </c>
      <c r="W87">
        <v>2355</v>
      </c>
      <c r="Y87" s="12" t="s">
        <v>107</v>
      </c>
      <c r="Z87">
        <v>2829.1</v>
      </c>
      <c r="AB87" s="12" t="s">
        <v>107</v>
      </c>
      <c r="AC87">
        <v>2932.6</v>
      </c>
      <c r="AD87">
        <v>3297.4</v>
      </c>
      <c r="AE87">
        <v>2829.1</v>
      </c>
      <c r="AG87" s="12" t="s">
        <v>107</v>
      </c>
      <c r="AH87" s="13">
        <v>4.9166779600000003</v>
      </c>
      <c r="AJ87" s="12" t="s">
        <v>107</v>
      </c>
      <c r="AK87" s="13">
        <v>5.1500894800000001</v>
      </c>
      <c r="AL87" s="13">
        <v>5.7305553700000003</v>
      </c>
      <c r="AM87" s="13">
        <v>4.9166779600000003</v>
      </c>
    </row>
    <row r="88" spans="1:39" x14ac:dyDescent="0.3">
      <c r="A88" s="12" t="s">
        <v>99</v>
      </c>
      <c r="B88" s="13">
        <v>0.45252631999999998</v>
      </c>
      <c r="D88" s="12" t="s">
        <v>108</v>
      </c>
      <c r="E88" s="13">
        <v>5.2860160000000003E-2</v>
      </c>
      <c r="F88" s="13">
        <v>0</v>
      </c>
      <c r="G88" s="13">
        <v>0</v>
      </c>
      <c r="I88" s="12" t="s">
        <v>108</v>
      </c>
      <c r="J88" s="13">
        <v>0</v>
      </c>
      <c r="L88" s="12" t="s">
        <v>108</v>
      </c>
      <c r="M88" s="13">
        <v>0.76725038999999995</v>
      </c>
      <c r="N88" s="13">
        <v>0</v>
      </c>
      <c r="O88" s="13">
        <v>0</v>
      </c>
      <c r="Q88" s="12" t="s">
        <v>108</v>
      </c>
      <c r="R88">
        <v>0</v>
      </c>
      <c r="T88" s="12" t="s">
        <v>108</v>
      </c>
      <c r="U88">
        <v>301</v>
      </c>
      <c r="V88">
        <v>0</v>
      </c>
      <c r="W88">
        <v>0</v>
      </c>
      <c r="Y88" s="12" t="s">
        <v>108</v>
      </c>
      <c r="Z88">
        <v>0</v>
      </c>
      <c r="AB88" s="12" t="s">
        <v>108</v>
      </c>
      <c r="AC88">
        <v>3923.1</v>
      </c>
      <c r="AD88">
        <v>0</v>
      </c>
      <c r="AE88">
        <v>0</v>
      </c>
      <c r="AG88" s="12" t="s">
        <v>108</v>
      </c>
      <c r="AH88" s="13">
        <v>0</v>
      </c>
      <c r="AJ88" s="12" t="s">
        <v>108</v>
      </c>
      <c r="AK88" s="13">
        <v>6.8895574000000002</v>
      </c>
      <c r="AL88" s="13">
        <v>0</v>
      </c>
      <c r="AM88" s="13">
        <v>0</v>
      </c>
    </row>
    <row r="89" spans="1:39" x14ac:dyDescent="0.3">
      <c r="A89" s="12" t="s">
        <v>111</v>
      </c>
      <c r="B89" s="13">
        <v>0.47984847000000003</v>
      </c>
      <c r="D89" s="12" t="s">
        <v>109</v>
      </c>
      <c r="E89" s="13">
        <v>3.7748469999999999E-2</v>
      </c>
      <c r="F89" s="13">
        <v>2.7185290000000001E-2</v>
      </c>
      <c r="G89" s="13">
        <v>6.3047119999999998E-2</v>
      </c>
      <c r="I89" s="12" t="s">
        <v>109</v>
      </c>
      <c r="J89" s="13">
        <v>2.08389281</v>
      </c>
      <c r="L89" s="12" t="s">
        <v>109</v>
      </c>
      <c r="M89" s="13">
        <v>1.1023995600000001</v>
      </c>
      <c r="N89" s="13">
        <v>0.78843841999999997</v>
      </c>
      <c r="O89" s="13">
        <v>2.08389281</v>
      </c>
      <c r="Q89" s="12" t="s">
        <v>109</v>
      </c>
      <c r="R89">
        <v>363</v>
      </c>
      <c r="T89" s="12" t="s">
        <v>109</v>
      </c>
      <c r="U89">
        <v>215</v>
      </c>
      <c r="V89">
        <v>156</v>
      </c>
      <c r="W89">
        <v>363</v>
      </c>
      <c r="Y89" s="12" t="s">
        <v>109</v>
      </c>
      <c r="Z89">
        <v>1740.9</v>
      </c>
      <c r="AB89" s="12" t="s">
        <v>109</v>
      </c>
      <c r="AC89">
        <v>1949.8</v>
      </c>
      <c r="AD89">
        <v>1984</v>
      </c>
      <c r="AE89">
        <v>1740.9</v>
      </c>
      <c r="AG89" s="12" t="s">
        <v>109</v>
      </c>
      <c r="AH89" s="13">
        <v>3.0254491200000002</v>
      </c>
      <c r="AJ89" s="12" t="s">
        <v>109</v>
      </c>
      <c r="AK89" s="13">
        <v>3.42420978</v>
      </c>
      <c r="AL89" s="13">
        <v>3.4479921</v>
      </c>
      <c r="AM89" s="13">
        <v>3.0254491200000002</v>
      </c>
    </row>
    <row r="90" spans="1:39" x14ac:dyDescent="0.3">
      <c r="A90" s="12" t="s">
        <v>100</v>
      </c>
      <c r="B90" s="13">
        <v>0.59574768</v>
      </c>
      <c r="D90" s="12" t="s">
        <v>110</v>
      </c>
      <c r="E90" s="13">
        <v>0.11035655</v>
      </c>
      <c r="F90" s="13">
        <v>0.24428095999999999</v>
      </c>
      <c r="G90" s="13">
        <v>0.13619585000000001</v>
      </c>
      <c r="I90" s="12" t="s">
        <v>110</v>
      </c>
      <c r="J90" s="13">
        <v>3.8107359999999999</v>
      </c>
      <c r="L90" s="12" t="s">
        <v>110</v>
      </c>
      <c r="M90" s="13">
        <v>2.6827873000000002</v>
      </c>
      <c r="N90" s="13">
        <v>5.4789821600000002</v>
      </c>
      <c r="O90" s="13">
        <v>3.8107359999999999</v>
      </c>
      <c r="Q90" s="12" t="s">
        <v>110</v>
      </c>
      <c r="R90">
        <v>784</v>
      </c>
      <c r="T90" s="12" t="s">
        <v>110</v>
      </c>
      <c r="U90">
        <v>628</v>
      </c>
      <c r="V90">
        <v>1406</v>
      </c>
      <c r="W90">
        <v>784</v>
      </c>
      <c r="Y90" s="12" t="s">
        <v>110</v>
      </c>
      <c r="Z90">
        <v>2056.5</v>
      </c>
      <c r="AB90" s="12" t="s">
        <v>110</v>
      </c>
      <c r="AC90">
        <v>2342.3000000000002</v>
      </c>
      <c r="AD90">
        <v>2565.4</v>
      </c>
      <c r="AE90">
        <v>2056.5</v>
      </c>
      <c r="AG90" s="12" t="s">
        <v>110</v>
      </c>
      <c r="AH90" s="13">
        <v>3.5740037899999999</v>
      </c>
      <c r="AJ90" s="12" t="s">
        <v>110</v>
      </c>
      <c r="AK90" s="13">
        <v>4.1135035699999998</v>
      </c>
      <c r="AL90" s="13">
        <v>4.4585099499999998</v>
      </c>
      <c r="AM90" s="13">
        <v>3.5740037899999999</v>
      </c>
    </row>
    <row r="91" spans="1:39" x14ac:dyDescent="0.3">
      <c r="A91" s="12" t="s">
        <v>101</v>
      </c>
      <c r="B91" s="13">
        <v>0.69938374000000003</v>
      </c>
      <c r="D91" s="12" t="s">
        <v>111</v>
      </c>
      <c r="E91" s="13">
        <v>0.42132596</v>
      </c>
      <c r="F91" s="13">
        <v>0.69054645000000003</v>
      </c>
      <c r="G91" s="13">
        <v>0.47984847000000003</v>
      </c>
      <c r="I91" s="12" t="s">
        <v>111</v>
      </c>
      <c r="J91" s="13">
        <v>8.2162191500000006</v>
      </c>
      <c r="L91" s="12" t="s">
        <v>111</v>
      </c>
      <c r="M91" s="13">
        <v>6.6210593400000004</v>
      </c>
      <c r="N91" s="13">
        <v>10.649653519999999</v>
      </c>
      <c r="O91" s="13">
        <v>8.2162191500000006</v>
      </c>
      <c r="Q91" s="12" t="s">
        <v>111</v>
      </c>
      <c r="R91">
        <v>2761</v>
      </c>
      <c r="T91" s="12" t="s">
        <v>111</v>
      </c>
      <c r="U91">
        <v>2399</v>
      </c>
      <c r="V91">
        <v>3973</v>
      </c>
      <c r="W91">
        <v>2761</v>
      </c>
      <c r="Y91" s="12" t="s">
        <v>111</v>
      </c>
      <c r="Z91">
        <v>3360.5</v>
      </c>
      <c r="AB91" s="12" t="s">
        <v>111</v>
      </c>
      <c r="AC91">
        <v>3623.5</v>
      </c>
      <c r="AD91">
        <v>3731</v>
      </c>
      <c r="AE91">
        <v>3360.5</v>
      </c>
      <c r="AG91" s="12" t="s">
        <v>111</v>
      </c>
      <c r="AH91" s="13">
        <v>5.8402589100000002</v>
      </c>
      <c r="AJ91" s="12" t="s">
        <v>111</v>
      </c>
      <c r="AK91" s="13">
        <v>6.36342213</v>
      </c>
      <c r="AL91" s="13">
        <v>6.4842151899999996</v>
      </c>
      <c r="AM91" s="13">
        <v>5.8402589100000002</v>
      </c>
    </row>
    <row r="92" spans="1:39" x14ac:dyDescent="0.3">
      <c r="A92" s="12" t="s">
        <v>97</v>
      </c>
      <c r="B92" s="13">
        <v>0.80870710999999995</v>
      </c>
      <c r="D92" s="12" t="s">
        <v>112</v>
      </c>
      <c r="E92" s="13">
        <v>0.32875262999999999</v>
      </c>
      <c r="F92" s="13">
        <v>0.46242698999999998</v>
      </c>
      <c r="G92" s="13">
        <v>0.31168154999999997</v>
      </c>
      <c r="I92" s="12" t="s">
        <v>112</v>
      </c>
      <c r="J92" s="13">
        <v>7.3975765600000001</v>
      </c>
      <c r="L92" s="12" t="s">
        <v>112</v>
      </c>
      <c r="M92" s="13">
        <v>7.2109427200000003</v>
      </c>
      <c r="N92" s="13">
        <v>9.3241277100000008</v>
      </c>
      <c r="O92" s="13">
        <v>7.3975765600000001</v>
      </c>
      <c r="Q92" s="12" t="s">
        <v>112</v>
      </c>
      <c r="R92">
        <v>1793</v>
      </c>
      <c r="T92" s="12" t="s">
        <v>112</v>
      </c>
      <c r="U92">
        <v>1872</v>
      </c>
      <c r="V92">
        <v>2661</v>
      </c>
      <c r="W92">
        <v>1793</v>
      </c>
      <c r="Y92" s="12" t="s">
        <v>112</v>
      </c>
      <c r="Z92">
        <v>2424.3000000000002</v>
      </c>
      <c r="AB92" s="12" t="s">
        <v>112</v>
      </c>
      <c r="AC92">
        <v>2596.1</v>
      </c>
      <c r="AD92">
        <v>2853.7</v>
      </c>
      <c r="AE92">
        <v>2424.3000000000002</v>
      </c>
      <c r="AG92" s="12" t="s">
        <v>112</v>
      </c>
      <c r="AH92" s="13">
        <v>4.2132926800000003</v>
      </c>
      <c r="AJ92" s="12" t="s">
        <v>112</v>
      </c>
      <c r="AK92" s="13">
        <v>4.5590797900000002</v>
      </c>
      <c r="AL92" s="13">
        <v>4.9594664499999999</v>
      </c>
      <c r="AM92" s="13">
        <v>4.2132926800000003</v>
      </c>
    </row>
    <row r="93" spans="1:39" x14ac:dyDescent="0.3">
      <c r="A93" s="11" t="s">
        <v>10</v>
      </c>
      <c r="B93" s="13">
        <v>3.0551762099999995</v>
      </c>
      <c r="D93" s="11" t="s">
        <v>10</v>
      </c>
      <c r="E93" s="13">
        <v>4.6463116499999995</v>
      </c>
      <c r="F93" s="13">
        <v>4.6175678300000005</v>
      </c>
      <c r="G93" s="13">
        <v>3.0551762099999995</v>
      </c>
      <c r="I93" s="11" t="s">
        <v>10</v>
      </c>
      <c r="J93" s="13">
        <v>100.24526484000002</v>
      </c>
      <c r="L93" s="11" t="s">
        <v>10</v>
      </c>
      <c r="M93" s="13">
        <v>130.77464816</v>
      </c>
      <c r="N93" s="13">
        <v>135.5253621</v>
      </c>
      <c r="O93" s="13">
        <v>100.24526484000002</v>
      </c>
      <c r="Q93" s="11" t="s">
        <v>10</v>
      </c>
      <c r="R93">
        <v>38262</v>
      </c>
      <c r="T93" s="11" t="s">
        <v>10</v>
      </c>
      <c r="U93">
        <v>54444</v>
      </c>
      <c r="V93">
        <v>51748</v>
      </c>
      <c r="W93">
        <v>38262</v>
      </c>
      <c r="Y93" s="11" t="s">
        <v>10</v>
      </c>
      <c r="Z93">
        <v>51943.80000000001</v>
      </c>
      <c r="AB93" s="11" t="s">
        <v>10</v>
      </c>
      <c r="AC93">
        <v>56174.000000000015</v>
      </c>
      <c r="AD93">
        <v>54491.7</v>
      </c>
      <c r="AE93">
        <v>51943.80000000001</v>
      </c>
      <c r="AG93" s="11" t="s">
        <v>10</v>
      </c>
      <c r="AH93" s="13">
        <v>41.477785210000008</v>
      </c>
      <c r="AJ93" s="11" t="s">
        <v>10</v>
      </c>
      <c r="AK93" s="13">
        <v>49.670306150000002</v>
      </c>
      <c r="AL93" s="13">
        <v>45.129948749999997</v>
      </c>
      <c r="AM93" s="13">
        <v>41.477785210000008</v>
      </c>
    </row>
    <row r="94" spans="1:39" x14ac:dyDescent="0.3">
      <c r="A94" s="12" t="s">
        <v>108</v>
      </c>
      <c r="B94" s="13">
        <v>0</v>
      </c>
      <c r="D94" s="12" t="s">
        <v>100</v>
      </c>
      <c r="E94" s="13">
        <v>0.32146999999999998</v>
      </c>
      <c r="F94" s="13">
        <v>0.42087913999999998</v>
      </c>
      <c r="G94" s="13">
        <v>0.27971040000000003</v>
      </c>
      <c r="I94" s="12" t="s">
        <v>100</v>
      </c>
      <c r="J94" s="13">
        <v>12.190296549999999</v>
      </c>
      <c r="L94" s="12" t="s">
        <v>100</v>
      </c>
      <c r="M94" s="13">
        <v>13.507984199999999</v>
      </c>
      <c r="N94" s="13">
        <v>15.83682434</v>
      </c>
      <c r="O94" s="13">
        <v>12.190296549999999</v>
      </c>
      <c r="Q94" s="12" t="s">
        <v>100</v>
      </c>
      <c r="R94">
        <v>3503</v>
      </c>
      <c r="T94" s="12" t="s">
        <v>100</v>
      </c>
      <c r="U94">
        <v>4977</v>
      </c>
      <c r="V94">
        <v>5271</v>
      </c>
      <c r="W94">
        <v>3503</v>
      </c>
      <c r="Y94" s="12" t="s">
        <v>100</v>
      </c>
      <c r="Z94">
        <v>2873.5</v>
      </c>
      <c r="AB94" s="12" t="s">
        <v>100</v>
      </c>
      <c r="AC94">
        <v>3411.3</v>
      </c>
      <c r="AD94">
        <v>3328.2</v>
      </c>
      <c r="AE94">
        <v>2873.5</v>
      </c>
      <c r="AG94" s="12" t="s">
        <v>100</v>
      </c>
      <c r="AH94" s="13">
        <v>2.2945331499999999</v>
      </c>
      <c r="AJ94" s="12" t="s">
        <v>100</v>
      </c>
      <c r="AK94" s="13">
        <v>2.4939131200000002</v>
      </c>
      <c r="AL94" s="13">
        <v>2.6575981099999999</v>
      </c>
      <c r="AM94" s="13">
        <v>2.2945331499999999</v>
      </c>
    </row>
    <row r="95" spans="1:39" x14ac:dyDescent="0.3">
      <c r="A95" s="12" t="s">
        <v>109</v>
      </c>
      <c r="B95" s="13">
        <v>3.2800830000000003E-2</v>
      </c>
      <c r="D95" s="12" t="s">
        <v>101</v>
      </c>
      <c r="E95" s="13">
        <v>0.55690187999999996</v>
      </c>
      <c r="F95" s="13">
        <v>0.79895300000000002</v>
      </c>
      <c r="G95" s="13">
        <v>0.39824635000000003</v>
      </c>
      <c r="I95" s="12" t="s">
        <v>101</v>
      </c>
      <c r="J95" s="13">
        <v>12.26941927</v>
      </c>
      <c r="L95" s="12" t="s">
        <v>101</v>
      </c>
      <c r="M95" s="13">
        <v>11.501864380000001</v>
      </c>
      <c r="N95" s="13">
        <v>21.169007560000001</v>
      </c>
      <c r="O95" s="13">
        <v>12.26941927</v>
      </c>
      <c r="Q95" s="12" t="s">
        <v>101</v>
      </c>
      <c r="R95">
        <v>4987</v>
      </c>
      <c r="T95" s="12" t="s">
        <v>101</v>
      </c>
      <c r="U95">
        <v>4653</v>
      </c>
      <c r="V95">
        <v>9254</v>
      </c>
      <c r="W95">
        <v>4987</v>
      </c>
      <c r="Y95" s="12" t="s">
        <v>101</v>
      </c>
      <c r="Z95">
        <v>4064.9</v>
      </c>
      <c r="AB95" s="12" t="s">
        <v>101</v>
      </c>
      <c r="AC95">
        <v>4898.1000000000004</v>
      </c>
      <c r="AD95">
        <v>4571.6000000000004</v>
      </c>
      <c r="AE95">
        <v>4064.9</v>
      </c>
      <c r="AG95" s="12" t="s">
        <v>101</v>
      </c>
      <c r="AH95" s="13">
        <v>3.2458451500000001</v>
      </c>
      <c r="AJ95" s="12" t="s">
        <v>101</v>
      </c>
      <c r="AK95" s="13">
        <v>3.9506423599999998</v>
      </c>
      <c r="AL95" s="13">
        <v>3.4907304899999998</v>
      </c>
      <c r="AM95" s="13">
        <v>3.2458451500000001</v>
      </c>
    </row>
    <row r="96" spans="1:39" x14ac:dyDescent="0.3">
      <c r="A96" s="12" t="s">
        <v>106</v>
      </c>
      <c r="B96" s="13">
        <v>5.149397E-2</v>
      </c>
      <c r="D96" s="12" t="s">
        <v>97</v>
      </c>
      <c r="E96" s="13">
        <v>0.47074286999999998</v>
      </c>
      <c r="F96" s="13">
        <v>0.45259497999999998</v>
      </c>
      <c r="G96" s="13">
        <v>0.52583343000000005</v>
      </c>
      <c r="I96" s="12" t="s">
        <v>97</v>
      </c>
      <c r="J96" s="13">
        <v>10.17025654</v>
      </c>
      <c r="L96" s="12" t="s">
        <v>97</v>
      </c>
      <c r="M96" s="13">
        <v>8.0908352000000008</v>
      </c>
      <c r="N96" s="13">
        <v>10.557890329999999</v>
      </c>
      <c r="O96" s="13">
        <v>10.17025654</v>
      </c>
      <c r="Q96" s="12" t="s">
        <v>97</v>
      </c>
      <c r="R96">
        <v>6585</v>
      </c>
      <c r="T96" s="12" t="s">
        <v>97</v>
      </c>
      <c r="U96">
        <v>5587</v>
      </c>
      <c r="V96">
        <v>5668</v>
      </c>
      <c r="W96">
        <v>6585</v>
      </c>
      <c r="Y96" s="12" t="s">
        <v>97</v>
      </c>
      <c r="Z96">
        <v>6474.9</v>
      </c>
      <c r="AB96" s="12" t="s">
        <v>97</v>
      </c>
      <c r="AC96">
        <v>5968.9</v>
      </c>
      <c r="AD96">
        <v>4368.5</v>
      </c>
      <c r="AE96">
        <v>6474.9</v>
      </c>
      <c r="AG96" s="12" t="s">
        <v>97</v>
      </c>
      <c r="AH96" s="13">
        <v>5.1703064100000002</v>
      </c>
      <c r="AJ96" s="12" t="s">
        <v>97</v>
      </c>
      <c r="AK96" s="13">
        <v>4.2284795500000003</v>
      </c>
      <c r="AL96" s="13">
        <v>4.2867936799999997</v>
      </c>
      <c r="AM96" s="13">
        <v>5.1703064100000002</v>
      </c>
    </row>
    <row r="97" spans="1:39" x14ac:dyDescent="0.3">
      <c r="A97" s="12" t="s">
        <v>102</v>
      </c>
      <c r="B97" s="13">
        <v>5.6808060000000001E-2</v>
      </c>
      <c r="D97" s="12" t="s">
        <v>98</v>
      </c>
      <c r="E97" s="13">
        <v>0.28718473</v>
      </c>
      <c r="F97" s="13">
        <v>0.17475412000000001</v>
      </c>
      <c r="G97" s="13">
        <v>0.11439468</v>
      </c>
      <c r="I97" s="12" t="s">
        <v>98</v>
      </c>
      <c r="J97" s="13">
        <v>5.9955596199999999</v>
      </c>
      <c r="L97" s="12" t="s">
        <v>98</v>
      </c>
      <c r="M97" s="13">
        <v>10.73836369</v>
      </c>
      <c r="N97" s="13">
        <v>8.7284953400000003</v>
      </c>
      <c r="O97" s="13">
        <v>5.9955596199999999</v>
      </c>
      <c r="Q97" s="12" t="s">
        <v>98</v>
      </c>
      <c r="R97">
        <v>1433</v>
      </c>
      <c r="T97" s="12" t="s">
        <v>98</v>
      </c>
      <c r="U97">
        <v>3753</v>
      </c>
      <c r="V97">
        <v>2189</v>
      </c>
      <c r="W97">
        <v>1433</v>
      </c>
      <c r="Y97" s="12" t="s">
        <v>98</v>
      </c>
      <c r="Z97">
        <v>2389.4</v>
      </c>
      <c r="AB97" s="12" t="s">
        <v>98</v>
      </c>
      <c r="AC97">
        <v>3789.3</v>
      </c>
      <c r="AD97">
        <v>2907.3</v>
      </c>
      <c r="AE97">
        <v>2389.4</v>
      </c>
      <c r="AG97" s="12" t="s">
        <v>98</v>
      </c>
      <c r="AH97" s="13">
        <v>1.90798998</v>
      </c>
      <c r="AJ97" s="12" t="s">
        <v>98</v>
      </c>
      <c r="AK97" s="13">
        <v>2.9544868200000001</v>
      </c>
      <c r="AL97" s="13">
        <v>2.5021104599999999</v>
      </c>
      <c r="AM97" s="13">
        <v>1.90798998</v>
      </c>
    </row>
    <row r="98" spans="1:39" x14ac:dyDescent="0.3">
      <c r="A98" s="12" t="s">
        <v>103</v>
      </c>
      <c r="B98" s="13">
        <v>6.3681249999999995E-2</v>
      </c>
      <c r="D98" s="12" t="s">
        <v>99</v>
      </c>
      <c r="E98" s="13">
        <v>0.38409863</v>
      </c>
      <c r="F98" s="13">
        <v>0.24537043</v>
      </c>
      <c r="G98" s="13">
        <v>0.1956252</v>
      </c>
      <c r="I98" s="12" t="s">
        <v>99</v>
      </c>
      <c r="J98" s="13">
        <v>8.5186302400000002</v>
      </c>
      <c r="L98" s="12" t="s">
        <v>99</v>
      </c>
      <c r="M98" s="13">
        <v>11.57567785</v>
      </c>
      <c r="N98" s="13">
        <v>10.865604510000001</v>
      </c>
      <c r="O98" s="13">
        <v>8.5186302400000002</v>
      </c>
      <c r="Q98" s="12" t="s">
        <v>99</v>
      </c>
      <c r="R98">
        <v>2450</v>
      </c>
      <c r="T98" s="12" t="s">
        <v>99</v>
      </c>
      <c r="U98">
        <v>7765</v>
      </c>
      <c r="V98">
        <v>3073</v>
      </c>
      <c r="W98">
        <v>2450</v>
      </c>
      <c r="Y98" s="12" t="s">
        <v>99</v>
      </c>
      <c r="Z98">
        <v>2875.9</v>
      </c>
      <c r="AB98" s="12" t="s">
        <v>99</v>
      </c>
      <c r="AC98">
        <v>3874.4</v>
      </c>
      <c r="AD98">
        <v>2828.1</v>
      </c>
      <c r="AE98">
        <v>2875.9</v>
      </c>
      <c r="AG98" s="12" t="s">
        <v>99</v>
      </c>
      <c r="AH98" s="13">
        <v>2.2964395999999998</v>
      </c>
      <c r="AJ98" s="12" t="s">
        <v>99</v>
      </c>
      <c r="AK98" s="13">
        <v>3.3232752900000002</v>
      </c>
      <c r="AL98" s="13">
        <v>2.2582308499999999</v>
      </c>
      <c r="AM98" s="13">
        <v>2.2964395999999998</v>
      </c>
    </row>
    <row r="99" spans="1:39" x14ac:dyDescent="0.3">
      <c r="A99" s="12" t="s">
        <v>110</v>
      </c>
      <c r="B99" s="13">
        <v>7.9302120000000004E-2</v>
      </c>
      <c r="D99" s="12" t="s">
        <v>102</v>
      </c>
      <c r="E99" s="13">
        <v>0.17355229999999999</v>
      </c>
      <c r="F99" s="13">
        <v>9.404063E-2</v>
      </c>
      <c r="G99" s="13">
        <v>5.6808060000000001E-2</v>
      </c>
      <c r="I99" s="12" t="s">
        <v>102</v>
      </c>
      <c r="J99" s="13">
        <v>2.9773774999999998</v>
      </c>
      <c r="L99" s="12" t="s">
        <v>102</v>
      </c>
      <c r="M99" s="13">
        <v>0.96980851999999995</v>
      </c>
      <c r="N99" s="13">
        <v>4.6970751499999999</v>
      </c>
      <c r="O99" s="13">
        <v>2.9773774999999998</v>
      </c>
      <c r="Q99" s="12" t="s">
        <v>102</v>
      </c>
      <c r="R99">
        <v>711</v>
      </c>
      <c r="T99" s="12" t="s">
        <v>102</v>
      </c>
      <c r="U99">
        <v>1215</v>
      </c>
      <c r="V99">
        <v>1178</v>
      </c>
      <c r="W99">
        <v>711</v>
      </c>
      <c r="Y99" s="12" t="s">
        <v>102</v>
      </c>
      <c r="Z99">
        <v>2389.4</v>
      </c>
      <c r="AB99" s="12" t="s">
        <v>102</v>
      </c>
      <c r="AC99">
        <v>3789.3</v>
      </c>
      <c r="AD99">
        <v>2507.3000000000002</v>
      </c>
      <c r="AE99">
        <v>2389.4</v>
      </c>
      <c r="AG99" s="12" t="s">
        <v>102</v>
      </c>
      <c r="AH99" s="13">
        <v>1.90798998</v>
      </c>
      <c r="AJ99" s="12" t="s">
        <v>102</v>
      </c>
      <c r="AK99" s="13">
        <v>3.2544868199999999</v>
      </c>
      <c r="AL99" s="13">
        <v>2.0021104599999999</v>
      </c>
      <c r="AM99" s="13">
        <v>1.90798998</v>
      </c>
    </row>
    <row r="100" spans="1:39" x14ac:dyDescent="0.3">
      <c r="A100" s="12" t="s">
        <v>98</v>
      </c>
      <c r="B100" s="13">
        <v>0.11439468</v>
      </c>
      <c r="D100" s="12" t="s">
        <v>103</v>
      </c>
      <c r="E100" s="13">
        <v>0.21179566</v>
      </c>
      <c r="F100" s="13">
        <v>0.18401215000000001</v>
      </c>
      <c r="G100" s="13">
        <v>6.3681249999999995E-2</v>
      </c>
      <c r="I100" s="12" t="s">
        <v>103</v>
      </c>
      <c r="J100" s="13">
        <v>2.77534657</v>
      </c>
      <c r="L100" s="12" t="s">
        <v>103</v>
      </c>
      <c r="M100" s="13">
        <v>12.59324765</v>
      </c>
      <c r="N100" s="13">
        <v>6.1714429099999997</v>
      </c>
      <c r="O100" s="13">
        <v>2.77534657</v>
      </c>
      <c r="Q100" s="12" t="s">
        <v>103</v>
      </c>
      <c r="R100">
        <v>798</v>
      </c>
      <c r="T100" s="12" t="s">
        <v>103</v>
      </c>
      <c r="U100">
        <v>1583</v>
      </c>
      <c r="V100">
        <v>2054</v>
      </c>
      <c r="W100">
        <v>798</v>
      </c>
      <c r="Y100" s="12" t="s">
        <v>103</v>
      </c>
      <c r="Z100">
        <v>2873.5</v>
      </c>
      <c r="AB100" s="12" t="s">
        <v>103</v>
      </c>
      <c r="AC100">
        <v>2011.3</v>
      </c>
      <c r="AD100">
        <v>3328.2</v>
      </c>
      <c r="AE100">
        <v>2873.5</v>
      </c>
      <c r="AG100" s="12" t="s">
        <v>103</v>
      </c>
      <c r="AH100" s="13">
        <v>2.2945331499999999</v>
      </c>
      <c r="AJ100" s="12" t="s">
        <v>103</v>
      </c>
      <c r="AK100" s="13">
        <v>2.9339131200000002</v>
      </c>
      <c r="AL100" s="13">
        <v>2.6575981099999999</v>
      </c>
      <c r="AM100" s="13">
        <v>2.2945331499999999</v>
      </c>
    </row>
    <row r="101" spans="1:39" x14ac:dyDescent="0.3">
      <c r="A101" s="12" t="s">
        <v>104</v>
      </c>
      <c r="B101" s="13">
        <v>0.13844182999999999</v>
      </c>
      <c r="D101" s="12" t="s">
        <v>104</v>
      </c>
      <c r="E101" s="13">
        <v>8.6884790000000003E-2</v>
      </c>
      <c r="F101" s="13">
        <v>0.14977470000000001</v>
      </c>
      <c r="G101" s="13">
        <v>0.13844182999999999</v>
      </c>
      <c r="I101" s="12" t="s">
        <v>104</v>
      </c>
      <c r="J101" s="13">
        <v>6.0285423400000004</v>
      </c>
      <c r="L101" s="12" t="s">
        <v>104</v>
      </c>
      <c r="M101" s="13">
        <v>2.91804701</v>
      </c>
      <c r="N101" s="13">
        <v>6.63239102</v>
      </c>
      <c r="O101" s="13">
        <v>6.0285423400000004</v>
      </c>
      <c r="Q101" s="12" t="s">
        <v>104</v>
      </c>
      <c r="R101">
        <v>1734</v>
      </c>
      <c r="T101" s="12" t="s">
        <v>104</v>
      </c>
      <c r="U101">
        <v>980</v>
      </c>
      <c r="V101">
        <v>1876</v>
      </c>
      <c r="W101">
        <v>1734</v>
      </c>
      <c r="Y101" s="12" t="s">
        <v>104</v>
      </c>
      <c r="Z101">
        <v>2875.9</v>
      </c>
      <c r="AB101" s="12" t="s">
        <v>104</v>
      </c>
      <c r="AC101">
        <v>2574.4</v>
      </c>
      <c r="AD101">
        <v>2828.1</v>
      </c>
      <c r="AE101">
        <v>2875.9</v>
      </c>
      <c r="AG101" s="12" t="s">
        <v>104</v>
      </c>
      <c r="AH101" s="13">
        <v>2.2964395999999998</v>
      </c>
      <c r="AJ101" s="12" t="s">
        <v>104</v>
      </c>
      <c r="AK101" s="13">
        <v>2.8232752900000002</v>
      </c>
      <c r="AL101" s="13">
        <v>2.2582308499999999</v>
      </c>
      <c r="AM101" s="13">
        <v>2.2964395999999998</v>
      </c>
    </row>
    <row r="102" spans="1:39" x14ac:dyDescent="0.3">
      <c r="A102" s="12" t="s">
        <v>112</v>
      </c>
      <c r="B102" s="13">
        <v>0.18436918999999999</v>
      </c>
      <c r="D102" s="12" t="s">
        <v>105</v>
      </c>
      <c r="E102" s="13">
        <v>0.19507853999999999</v>
      </c>
      <c r="F102" s="13">
        <v>0.20470826</v>
      </c>
      <c r="G102" s="13">
        <v>0.19307994000000001</v>
      </c>
      <c r="I102" s="12" t="s">
        <v>105</v>
      </c>
      <c r="J102" s="13">
        <v>5.9485260599999998</v>
      </c>
      <c r="L102" s="12" t="s">
        <v>105</v>
      </c>
      <c r="M102" s="13">
        <v>7.6047289899999999</v>
      </c>
      <c r="N102" s="13">
        <v>5.86433874</v>
      </c>
      <c r="O102" s="13">
        <v>5.9485260599999998</v>
      </c>
      <c r="Q102" s="12" t="s">
        <v>105</v>
      </c>
      <c r="R102">
        <v>2418</v>
      </c>
      <c r="T102" s="12" t="s">
        <v>105</v>
      </c>
      <c r="U102">
        <v>2795</v>
      </c>
      <c r="V102">
        <v>2564</v>
      </c>
      <c r="W102">
        <v>2418</v>
      </c>
      <c r="Y102" s="12" t="s">
        <v>105</v>
      </c>
      <c r="Z102">
        <v>4064.9</v>
      </c>
      <c r="AB102" s="12" t="s">
        <v>105</v>
      </c>
      <c r="AC102">
        <v>3398.1</v>
      </c>
      <c r="AD102">
        <v>4371.6000000000004</v>
      </c>
      <c r="AE102">
        <v>4064.9</v>
      </c>
      <c r="AG102" s="12" t="s">
        <v>105</v>
      </c>
      <c r="AH102" s="13">
        <v>3.2458451500000001</v>
      </c>
      <c r="AJ102" s="12" t="s">
        <v>105</v>
      </c>
      <c r="AK102" s="13">
        <v>2.15064236</v>
      </c>
      <c r="AL102" s="13">
        <v>3.4907304899999998</v>
      </c>
      <c r="AM102" s="13">
        <v>3.2458451500000001</v>
      </c>
    </row>
    <row r="103" spans="1:39" x14ac:dyDescent="0.3">
      <c r="A103" s="12" t="s">
        <v>105</v>
      </c>
      <c r="B103" s="13">
        <v>0.19307994000000001</v>
      </c>
      <c r="D103" s="12" t="s">
        <v>106</v>
      </c>
      <c r="E103" s="13">
        <v>0.24151797999999999</v>
      </c>
      <c r="F103" s="13">
        <v>5.0589660000000002E-2</v>
      </c>
      <c r="G103" s="13">
        <v>5.149397E-2</v>
      </c>
      <c r="I103" s="12" t="s">
        <v>106</v>
      </c>
      <c r="J103" s="13">
        <v>2.2423395799999999</v>
      </c>
      <c r="L103" s="12" t="s">
        <v>106</v>
      </c>
      <c r="M103" s="13">
        <v>8.78704529</v>
      </c>
      <c r="N103" s="13">
        <v>2.2402342200000001</v>
      </c>
      <c r="O103" s="13">
        <v>2.2423395799999999</v>
      </c>
      <c r="Q103" s="12" t="s">
        <v>106</v>
      </c>
      <c r="R103">
        <v>645</v>
      </c>
      <c r="T103" s="12" t="s">
        <v>106</v>
      </c>
      <c r="U103">
        <v>914</v>
      </c>
      <c r="V103">
        <v>634</v>
      </c>
      <c r="W103">
        <v>645</v>
      </c>
      <c r="Y103" s="12" t="s">
        <v>106</v>
      </c>
      <c r="Z103">
        <v>2875.9</v>
      </c>
      <c r="AB103" s="12" t="s">
        <v>106</v>
      </c>
      <c r="AC103">
        <v>3874.4</v>
      </c>
      <c r="AD103">
        <v>2828.1</v>
      </c>
      <c r="AE103">
        <v>2875.9</v>
      </c>
      <c r="AG103" s="12" t="s">
        <v>106</v>
      </c>
      <c r="AH103" s="13">
        <v>2.2964395999999998</v>
      </c>
      <c r="AJ103" s="12" t="s">
        <v>106</v>
      </c>
      <c r="AK103" s="13">
        <v>2.9232752899999999</v>
      </c>
      <c r="AL103" s="13">
        <v>2.2582308499999999</v>
      </c>
      <c r="AM103" s="13">
        <v>2.2964395999999998</v>
      </c>
    </row>
    <row r="104" spans="1:39" x14ac:dyDescent="0.3">
      <c r="A104" s="12" t="s">
        <v>99</v>
      </c>
      <c r="B104" s="13">
        <v>0.1956252</v>
      </c>
      <c r="D104" s="12" t="s">
        <v>107</v>
      </c>
      <c r="E104" s="13">
        <v>0.288082</v>
      </c>
      <c r="F104" s="13">
        <v>0.36824129999999999</v>
      </c>
      <c r="G104" s="13">
        <v>0.27325243999999999</v>
      </c>
      <c r="I104" s="12" t="s">
        <v>107</v>
      </c>
      <c r="J104" s="13">
        <v>8.4185297299999995</v>
      </c>
      <c r="L104" s="12" t="s">
        <v>107</v>
      </c>
      <c r="M104" s="13">
        <v>9.5340363299999993</v>
      </c>
      <c r="N104" s="13">
        <v>10.54911873</v>
      </c>
      <c r="O104" s="13">
        <v>8.4185297299999995</v>
      </c>
      <c r="Q104" s="12" t="s">
        <v>107</v>
      </c>
      <c r="R104">
        <v>3422</v>
      </c>
      <c r="T104" s="12" t="s">
        <v>107</v>
      </c>
      <c r="U104">
        <v>4961</v>
      </c>
      <c r="V104">
        <v>4612</v>
      </c>
      <c r="W104">
        <v>3422</v>
      </c>
      <c r="Y104" s="12" t="s">
        <v>107</v>
      </c>
      <c r="Z104">
        <v>4064.9</v>
      </c>
      <c r="AB104" s="12" t="s">
        <v>107</v>
      </c>
      <c r="AC104">
        <v>2898.1</v>
      </c>
      <c r="AD104">
        <v>3371.6</v>
      </c>
      <c r="AE104">
        <v>4064.9</v>
      </c>
      <c r="AG104" s="12" t="s">
        <v>107</v>
      </c>
      <c r="AH104" s="13">
        <v>3.2458451500000001</v>
      </c>
      <c r="AJ104" s="12" t="s">
        <v>107</v>
      </c>
      <c r="AK104" s="13">
        <v>3.1606423600000002</v>
      </c>
      <c r="AL104" s="13">
        <v>3.4907304899999998</v>
      </c>
      <c r="AM104" s="13">
        <v>3.2458451500000001</v>
      </c>
    </row>
    <row r="105" spans="1:39" x14ac:dyDescent="0.3">
      <c r="A105" s="12" t="s">
        <v>107</v>
      </c>
      <c r="B105" s="13">
        <v>0.27325243999999999</v>
      </c>
      <c r="D105" s="12" t="s">
        <v>108</v>
      </c>
      <c r="E105" s="13">
        <v>0.32081999999999999</v>
      </c>
      <c r="F105" s="13">
        <v>0.43962669999999998</v>
      </c>
      <c r="G105" s="13">
        <v>0</v>
      </c>
      <c r="I105" s="12" t="s">
        <v>108</v>
      </c>
      <c r="J105" s="13">
        <v>0</v>
      </c>
      <c r="L105" s="12" t="s">
        <v>108</v>
      </c>
      <c r="M105" s="13">
        <v>4.5340363300000002</v>
      </c>
      <c r="N105" s="13">
        <v>1.69634328</v>
      </c>
      <c r="O105" s="13">
        <v>0</v>
      </c>
      <c r="Q105" s="12" t="s">
        <v>108</v>
      </c>
      <c r="R105">
        <v>0</v>
      </c>
      <c r="T105" s="12" t="s">
        <v>108</v>
      </c>
      <c r="U105">
        <v>4561</v>
      </c>
      <c r="V105">
        <v>425</v>
      </c>
      <c r="W105">
        <v>0</v>
      </c>
      <c r="Y105" s="12" t="s">
        <v>108</v>
      </c>
      <c r="Z105">
        <v>0</v>
      </c>
      <c r="AB105" s="12" t="s">
        <v>108</v>
      </c>
      <c r="AC105">
        <v>2670.8</v>
      </c>
      <c r="AD105">
        <v>2507.3000000000002</v>
      </c>
      <c r="AE105">
        <v>0</v>
      </c>
      <c r="AG105" s="12" t="s">
        <v>108</v>
      </c>
      <c r="AH105" s="13">
        <v>0</v>
      </c>
      <c r="AJ105" s="12" t="s">
        <v>108</v>
      </c>
      <c r="AK105" s="13">
        <v>3.5834057399999999</v>
      </c>
      <c r="AL105" s="13">
        <v>2.0021104599999999</v>
      </c>
      <c r="AM105" s="13">
        <v>0</v>
      </c>
    </row>
    <row r="106" spans="1:39" x14ac:dyDescent="0.3">
      <c r="A106" s="12" t="s">
        <v>100</v>
      </c>
      <c r="B106" s="13">
        <v>0.27971040000000003</v>
      </c>
      <c r="D106" s="12" t="s">
        <v>109</v>
      </c>
      <c r="E106" s="13">
        <v>9.160095E-2</v>
      </c>
      <c r="F106" s="13">
        <v>3.396267E-2</v>
      </c>
      <c r="G106" s="13">
        <v>3.2800830000000003E-2</v>
      </c>
      <c r="I106" s="12" t="s">
        <v>109</v>
      </c>
      <c r="J106" s="13">
        <v>1.7191302500000001</v>
      </c>
      <c r="L106" s="12" t="s">
        <v>109</v>
      </c>
      <c r="M106" s="13">
        <v>5.2888112899999999</v>
      </c>
      <c r="N106" s="13">
        <v>1.69634328</v>
      </c>
      <c r="O106" s="13">
        <v>1.7191302500000001</v>
      </c>
      <c r="Q106" s="12" t="s">
        <v>109</v>
      </c>
      <c r="R106">
        <v>411</v>
      </c>
      <c r="T106" s="12" t="s">
        <v>109</v>
      </c>
      <c r="U106">
        <v>738</v>
      </c>
      <c r="V106">
        <v>425</v>
      </c>
      <c r="W106">
        <v>411</v>
      </c>
      <c r="Y106" s="12" t="s">
        <v>109</v>
      </c>
      <c r="Z106">
        <v>2389.4</v>
      </c>
      <c r="AB106" s="12" t="s">
        <v>109</v>
      </c>
      <c r="AC106">
        <v>2589.3000000000002</v>
      </c>
      <c r="AD106">
        <v>2507.3000000000002</v>
      </c>
      <c r="AE106">
        <v>2389.4</v>
      </c>
      <c r="AG106" s="12" t="s">
        <v>109</v>
      </c>
      <c r="AH106" s="13">
        <v>1.90798998</v>
      </c>
      <c r="AJ106" s="12" t="s">
        <v>109</v>
      </c>
      <c r="AK106" s="13">
        <v>2.9544868200000001</v>
      </c>
      <c r="AL106" s="13">
        <v>2.0021104599999999</v>
      </c>
      <c r="AM106" s="13">
        <v>1.90798998</v>
      </c>
    </row>
    <row r="107" spans="1:39" x14ac:dyDescent="0.3">
      <c r="A107" s="12" t="s">
        <v>101</v>
      </c>
      <c r="B107" s="13">
        <v>0.39824635000000003</v>
      </c>
      <c r="D107" s="12" t="s">
        <v>110</v>
      </c>
      <c r="E107" s="13">
        <v>0.34909253000000001</v>
      </c>
      <c r="F107" s="13">
        <v>0.14849908000000001</v>
      </c>
      <c r="G107" s="13">
        <v>7.9302120000000004E-2</v>
      </c>
      <c r="I107" s="12" t="s">
        <v>110</v>
      </c>
      <c r="J107" s="13">
        <v>3.45613299</v>
      </c>
      <c r="L107" s="12" t="s">
        <v>110</v>
      </c>
      <c r="M107" s="13">
        <v>6.1956308499999997</v>
      </c>
      <c r="N107" s="13">
        <v>5.58771766</v>
      </c>
      <c r="O107" s="13">
        <v>3.45613299</v>
      </c>
      <c r="Q107" s="12" t="s">
        <v>110</v>
      </c>
      <c r="R107">
        <v>993</v>
      </c>
      <c r="T107" s="12" t="s">
        <v>110</v>
      </c>
      <c r="U107">
        <v>2845</v>
      </c>
      <c r="V107">
        <v>1860</v>
      </c>
      <c r="W107">
        <v>993</v>
      </c>
      <c r="Y107" s="12" t="s">
        <v>110</v>
      </c>
      <c r="Z107">
        <v>2873.5</v>
      </c>
      <c r="AB107" s="12" t="s">
        <v>110</v>
      </c>
      <c r="AC107">
        <v>3911.3</v>
      </c>
      <c r="AD107">
        <v>3328.2</v>
      </c>
      <c r="AE107">
        <v>2873.5</v>
      </c>
      <c r="AG107" s="12" t="s">
        <v>110</v>
      </c>
      <c r="AH107" s="13">
        <v>2.2945331499999999</v>
      </c>
      <c r="AJ107" s="12" t="s">
        <v>110</v>
      </c>
      <c r="AK107" s="13">
        <v>2.9339131200000002</v>
      </c>
      <c r="AL107" s="13">
        <v>2.6575981099999999</v>
      </c>
      <c r="AM107" s="13">
        <v>2.2945331499999999</v>
      </c>
    </row>
    <row r="108" spans="1:39" x14ac:dyDescent="0.3">
      <c r="A108" s="12" t="s">
        <v>111</v>
      </c>
      <c r="B108" s="13">
        <v>0.46813652</v>
      </c>
      <c r="D108" s="12" t="s">
        <v>111</v>
      </c>
      <c r="E108" s="13">
        <v>0.34208878999999998</v>
      </c>
      <c r="F108" s="13">
        <v>0.56995814</v>
      </c>
      <c r="G108" s="13">
        <v>0.46813652</v>
      </c>
      <c r="I108" s="12" t="s">
        <v>111</v>
      </c>
      <c r="J108" s="13">
        <v>10.880849570000001</v>
      </c>
      <c r="L108" s="12" t="s">
        <v>111</v>
      </c>
      <c r="M108" s="13">
        <v>9.2264341299999995</v>
      </c>
      <c r="N108" s="13">
        <v>13.764736279999999</v>
      </c>
      <c r="O108" s="13">
        <v>10.880849570000001</v>
      </c>
      <c r="Q108" s="12" t="s">
        <v>111</v>
      </c>
      <c r="R108">
        <v>5863</v>
      </c>
      <c r="T108" s="12" t="s">
        <v>111</v>
      </c>
      <c r="U108">
        <v>4149</v>
      </c>
      <c r="V108">
        <v>7138</v>
      </c>
      <c r="W108">
        <v>5863</v>
      </c>
      <c r="Y108" s="12" t="s">
        <v>111</v>
      </c>
      <c r="Z108">
        <v>5388</v>
      </c>
      <c r="AB108" s="12" t="s">
        <v>111</v>
      </c>
      <c r="AC108">
        <v>2994.5</v>
      </c>
      <c r="AD108">
        <v>5185.5</v>
      </c>
      <c r="AE108">
        <v>5388</v>
      </c>
      <c r="AG108" s="12" t="s">
        <v>111</v>
      </c>
      <c r="AH108" s="13">
        <v>4.3023894</v>
      </c>
      <c r="AJ108" s="12" t="s">
        <v>111</v>
      </c>
      <c r="AK108" s="13">
        <v>3.0368498100000001</v>
      </c>
      <c r="AL108" s="13">
        <v>4.1407124</v>
      </c>
      <c r="AM108" s="13">
        <v>4.3023894</v>
      </c>
    </row>
    <row r="109" spans="1:39" x14ac:dyDescent="0.3">
      <c r="A109" s="12" t="s">
        <v>97</v>
      </c>
      <c r="B109" s="13">
        <v>0.52583343000000005</v>
      </c>
      <c r="D109" s="12" t="s">
        <v>112</v>
      </c>
      <c r="E109" s="13">
        <v>0.32540000000000002</v>
      </c>
      <c r="F109" s="13">
        <v>0.28160287000000001</v>
      </c>
      <c r="G109" s="13">
        <v>0.18436918999999999</v>
      </c>
      <c r="I109" s="12" t="s">
        <v>112</v>
      </c>
      <c r="J109" s="13">
        <v>6.6543280300000003</v>
      </c>
      <c r="L109" s="12" t="s">
        <v>112</v>
      </c>
      <c r="M109" s="13">
        <v>7.7080964500000002</v>
      </c>
      <c r="N109" s="13">
        <v>9.46779875</v>
      </c>
      <c r="O109" s="13">
        <v>6.6543280300000003</v>
      </c>
      <c r="Q109" s="12" t="s">
        <v>112</v>
      </c>
      <c r="R109">
        <v>2309</v>
      </c>
      <c r="T109" s="12" t="s">
        <v>112</v>
      </c>
      <c r="U109">
        <v>2968</v>
      </c>
      <c r="V109">
        <v>3527</v>
      </c>
      <c r="W109">
        <v>2309</v>
      </c>
      <c r="Y109" s="12" t="s">
        <v>112</v>
      </c>
      <c r="Z109">
        <v>3469.8</v>
      </c>
      <c r="AB109" s="12" t="s">
        <v>112</v>
      </c>
      <c r="AC109">
        <v>3520.5</v>
      </c>
      <c r="AD109">
        <v>3724.8</v>
      </c>
      <c r="AE109">
        <v>3469.8</v>
      </c>
      <c r="AG109" s="12" t="s">
        <v>112</v>
      </c>
      <c r="AH109" s="13">
        <v>2.77066576</v>
      </c>
      <c r="AJ109" s="12" t="s">
        <v>112</v>
      </c>
      <c r="AK109" s="13">
        <v>2.9646182799999998</v>
      </c>
      <c r="AL109" s="13">
        <v>2.9743224800000001</v>
      </c>
      <c r="AM109" s="13">
        <v>2.77066576</v>
      </c>
    </row>
    <row r="110" spans="1:39" x14ac:dyDescent="0.3">
      <c r="A110" s="11" t="s">
        <v>11</v>
      </c>
      <c r="B110" s="13">
        <v>4.7751043800000001</v>
      </c>
      <c r="D110" s="11" t="s">
        <v>11</v>
      </c>
      <c r="E110" s="13">
        <v>7.046406160000001</v>
      </c>
      <c r="F110" s="13">
        <v>6.2304286800000002</v>
      </c>
      <c r="G110" s="13">
        <v>4.7751043800000001</v>
      </c>
      <c r="I110" s="11" t="s">
        <v>11</v>
      </c>
      <c r="J110" s="13">
        <v>125.95219621</v>
      </c>
      <c r="L110" s="11" t="s">
        <v>11</v>
      </c>
      <c r="M110" s="13">
        <v>121.91399126</v>
      </c>
      <c r="N110" s="13">
        <v>140.58668645999995</v>
      </c>
      <c r="O110" s="13">
        <v>125.95219621</v>
      </c>
      <c r="Q110" s="11" t="s">
        <v>11</v>
      </c>
      <c r="R110">
        <v>54631</v>
      </c>
      <c r="T110" s="11" t="s">
        <v>11</v>
      </c>
      <c r="U110">
        <v>61393</v>
      </c>
      <c r="V110">
        <v>71281</v>
      </c>
      <c r="W110">
        <v>54631</v>
      </c>
      <c r="Y110" s="11" t="s">
        <v>11</v>
      </c>
      <c r="Z110">
        <v>61812.299999999996</v>
      </c>
      <c r="AB110" s="11" t="s">
        <v>11</v>
      </c>
      <c r="AC110">
        <v>79618.5</v>
      </c>
      <c r="AD110">
        <v>69919.399999999994</v>
      </c>
      <c r="AE110">
        <v>61812.299999999996</v>
      </c>
      <c r="AG110" s="11" t="s">
        <v>11</v>
      </c>
      <c r="AH110" s="13">
        <v>54.028323459999996</v>
      </c>
      <c r="AJ110" s="11" t="s">
        <v>11</v>
      </c>
      <c r="AK110" s="13">
        <v>70.37399228000001</v>
      </c>
      <c r="AL110" s="13">
        <v>61.114104049999995</v>
      </c>
      <c r="AM110" s="13">
        <v>54.028323459999996</v>
      </c>
    </row>
    <row r="111" spans="1:39" x14ac:dyDescent="0.3">
      <c r="A111" s="12" t="s">
        <v>108</v>
      </c>
      <c r="B111" s="13">
        <v>0</v>
      </c>
      <c r="D111" s="12" t="s">
        <v>100</v>
      </c>
      <c r="E111" s="13">
        <v>0.54556539000000004</v>
      </c>
      <c r="F111" s="13">
        <v>0.64420869999999997</v>
      </c>
      <c r="G111" s="13">
        <v>0.46504915000000002</v>
      </c>
      <c r="I111" s="12" t="s">
        <v>100</v>
      </c>
      <c r="J111" s="13">
        <v>15.325306579999999</v>
      </c>
      <c r="L111" s="12" t="s">
        <v>100</v>
      </c>
      <c r="M111" s="13">
        <v>15.75776507</v>
      </c>
      <c r="N111" s="13">
        <v>12.02064805</v>
      </c>
      <c r="O111" s="13">
        <v>15.325306579999999</v>
      </c>
      <c r="Q111" s="12" t="s">
        <v>100</v>
      </c>
      <c r="R111">
        <v>5321</v>
      </c>
      <c r="T111" s="12" t="s">
        <v>100</v>
      </c>
      <c r="U111">
        <v>7304</v>
      </c>
      <c r="V111">
        <v>7370</v>
      </c>
      <c r="W111">
        <v>5321</v>
      </c>
      <c r="Y111" s="12" t="s">
        <v>100</v>
      </c>
      <c r="Z111">
        <v>3471.7</v>
      </c>
      <c r="AB111" s="12" t="s">
        <v>100</v>
      </c>
      <c r="AC111">
        <v>4358.3999999999996</v>
      </c>
      <c r="AD111">
        <v>4316.7</v>
      </c>
      <c r="AE111">
        <v>3471.7</v>
      </c>
      <c r="AG111" s="12" t="s">
        <v>100</v>
      </c>
      <c r="AH111" s="13">
        <v>3.03451775</v>
      </c>
      <c r="AJ111" s="12" t="s">
        <v>100</v>
      </c>
      <c r="AK111" s="13">
        <v>3.85233582</v>
      </c>
      <c r="AL111" s="13">
        <v>3.77311905</v>
      </c>
      <c r="AM111" s="13">
        <v>3.03451775</v>
      </c>
    </row>
    <row r="112" spans="1:39" x14ac:dyDescent="0.3">
      <c r="A112" s="12" t="s">
        <v>109</v>
      </c>
      <c r="B112" s="13">
        <v>5.8892399999999998E-2</v>
      </c>
      <c r="D112" s="12" t="s">
        <v>101</v>
      </c>
      <c r="E112" s="13">
        <v>0.70736043999999998</v>
      </c>
      <c r="F112" s="13">
        <v>1.0565396300000001</v>
      </c>
      <c r="G112" s="13">
        <v>0.63195210000000002</v>
      </c>
      <c r="I112" s="12" t="s">
        <v>101</v>
      </c>
      <c r="J112" s="13">
        <v>14.68372349</v>
      </c>
      <c r="L112" s="12" t="s">
        <v>101</v>
      </c>
      <c r="M112" s="13">
        <v>16.81387651</v>
      </c>
      <c r="N112" s="13">
        <v>19.038900859999998</v>
      </c>
      <c r="O112" s="13">
        <v>14.68372349</v>
      </c>
      <c r="Q112" s="12" t="s">
        <v>101</v>
      </c>
      <c r="R112">
        <v>7230</v>
      </c>
      <c r="T112" s="12" t="s">
        <v>101</v>
      </c>
      <c r="U112">
        <v>9021</v>
      </c>
      <c r="V112">
        <v>12088</v>
      </c>
      <c r="W112">
        <v>7230</v>
      </c>
      <c r="Y112" s="12" t="s">
        <v>101</v>
      </c>
      <c r="Z112">
        <v>4923.8</v>
      </c>
      <c r="AB112" s="12" t="s">
        <v>101</v>
      </c>
      <c r="AC112">
        <v>5462.7</v>
      </c>
      <c r="AD112">
        <v>5745.4</v>
      </c>
      <c r="AE112">
        <v>4923.8</v>
      </c>
      <c r="AG112" s="12" t="s">
        <v>101</v>
      </c>
      <c r="AH112" s="13">
        <v>4.3037592299999998</v>
      </c>
      <c r="AJ112" s="12" t="s">
        <v>101</v>
      </c>
      <c r="AK112" s="13">
        <v>4.82842678</v>
      </c>
      <c r="AL112" s="13">
        <v>5.02183855</v>
      </c>
      <c r="AM112" s="13">
        <v>4.3037592299999998</v>
      </c>
    </row>
    <row r="113" spans="1:39" x14ac:dyDescent="0.3">
      <c r="A113" s="12" t="s">
        <v>106</v>
      </c>
      <c r="B113" s="13">
        <v>7.3216160000000002E-2</v>
      </c>
      <c r="D113" s="12" t="s">
        <v>97</v>
      </c>
      <c r="E113" s="13">
        <v>0.86191302999999997</v>
      </c>
      <c r="F113" s="13">
        <v>0.60420280000000004</v>
      </c>
      <c r="G113" s="13">
        <v>0.72961480999999995</v>
      </c>
      <c r="I113" s="12" t="s">
        <v>97</v>
      </c>
      <c r="J113" s="13">
        <v>12.103713750000001</v>
      </c>
      <c r="L113" s="12" t="s">
        <v>97</v>
      </c>
      <c r="M113" s="13">
        <v>12.08404801</v>
      </c>
      <c r="N113" s="13">
        <v>10.96507269</v>
      </c>
      <c r="O113" s="13">
        <v>12.103713750000001</v>
      </c>
      <c r="Q113" s="12" t="s">
        <v>97</v>
      </c>
      <c r="R113">
        <v>8347</v>
      </c>
      <c r="T113" s="12" t="s">
        <v>97</v>
      </c>
      <c r="U113">
        <v>8620</v>
      </c>
      <c r="V113">
        <v>6913</v>
      </c>
      <c r="W113">
        <v>8347</v>
      </c>
      <c r="Y113" s="12" t="s">
        <v>97</v>
      </c>
      <c r="Z113">
        <v>6896.5</v>
      </c>
      <c r="AB113" s="12" t="s">
        <v>97</v>
      </c>
      <c r="AC113">
        <v>7776.9</v>
      </c>
      <c r="AD113">
        <v>6421.3</v>
      </c>
      <c r="AE113">
        <v>6896.5</v>
      </c>
      <c r="AG113" s="12" t="s">
        <v>97</v>
      </c>
      <c r="AH113" s="13">
        <v>6.0280243100000002</v>
      </c>
      <c r="AJ113" s="12" t="s">
        <v>97</v>
      </c>
      <c r="AK113" s="13">
        <v>6.8739600000000003</v>
      </c>
      <c r="AL113" s="13">
        <v>5.6126216199999996</v>
      </c>
      <c r="AM113" s="13">
        <v>6.0280243100000002</v>
      </c>
    </row>
    <row r="114" spans="1:39" x14ac:dyDescent="0.3">
      <c r="A114" s="12" t="s">
        <v>110</v>
      </c>
      <c r="B114" s="13">
        <v>0.10322940999999999</v>
      </c>
      <c r="D114" s="12" t="s">
        <v>98</v>
      </c>
      <c r="E114" s="13">
        <v>0.49247421000000002</v>
      </c>
      <c r="F114" s="13">
        <v>0.34059085</v>
      </c>
      <c r="G114" s="13">
        <v>0.21248550999999999</v>
      </c>
      <c r="I114" s="12" t="s">
        <v>98</v>
      </c>
      <c r="J114" s="13">
        <v>8.0359718000000004</v>
      </c>
      <c r="L114" s="12" t="s">
        <v>98</v>
      </c>
      <c r="M114" s="13">
        <v>14.959684810000001</v>
      </c>
      <c r="N114" s="13">
        <v>11.433205259999999</v>
      </c>
      <c r="O114" s="13">
        <v>8.0359718000000004</v>
      </c>
      <c r="Q114" s="12" t="s">
        <v>98</v>
      </c>
      <c r="R114">
        <v>2431</v>
      </c>
      <c r="T114" s="12" t="s">
        <v>98</v>
      </c>
      <c r="U114">
        <v>5459</v>
      </c>
      <c r="V114">
        <v>3897</v>
      </c>
      <c r="W114">
        <v>2431</v>
      </c>
      <c r="Y114" s="12" t="s">
        <v>98</v>
      </c>
      <c r="Z114">
        <v>3025.1</v>
      </c>
      <c r="AB114" s="12" t="s">
        <v>98</v>
      </c>
      <c r="AC114">
        <v>3882.4</v>
      </c>
      <c r="AD114">
        <v>3408.2</v>
      </c>
      <c r="AE114">
        <v>3025.1</v>
      </c>
      <c r="AG114" s="12" t="s">
        <v>98</v>
      </c>
      <c r="AH114" s="13">
        <v>2.6441794199999999</v>
      </c>
      <c r="AJ114" s="12" t="s">
        <v>98</v>
      </c>
      <c r="AK114" s="13">
        <v>3.4316146700000001</v>
      </c>
      <c r="AL114" s="13">
        <v>2.9789620999999999</v>
      </c>
      <c r="AM114" s="13">
        <v>2.6441794199999999</v>
      </c>
    </row>
    <row r="115" spans="1:39" x14ac:dyDescent="0.3">
      <c r="A115" s="12" t="s">
        <v>103</v>
      </c>
      <c r="B115" s="13">
        <v>0.15577827999999999</v>
      </c>
      <c r="D115" s="12" t="s">
        <v>99</v>
      </c>
      <c r="E115" s="13">
        <v>0.62381405000000001</v>
      </c>
      <c r="F115" s="13">
        <v>0.44789340999999999</v>
      </c>
      <c r="G115" s="13">
        <v>0.33583593</v>
      </c>
      <c r="I115" s="12" t="s">
        <v>99</v>
      </c>
      <c r="J115" s="13">
        <v>11.05739103</v>
      </c>
      <c r="L115" s="12" t="s">
        <v>99</v>
      </c>
      <c r="M115" s="13">
        <v>13.134359099999999</v>
      </c>
      <c r="N115" s="13">
        <v>13.02064805</v>
      </c>
      <c r="O115" s="13">
        <v>11.05739103</v>
      </c>
      <c r="Q115" s="12" t="s">
        <v>99</v>
      </c>
      <c r="R115">
        <v>3842</v>
      </c>
      <c r="T115" s="12" t="s">
        <v>99</v>
      </c>
      <c r="U115">
        <v>7171</v>
      </c>
      <c r="V115">
        <v>5124</v>
      </c>
      <c r="W115">
        <v>3842</v>
      </c>
      <c r="Y115" s="12" t="s">
        <v>99</v>
      </c>
      <c r="Z115">
        <v>3474.8</v>
      </c>
      <c r="AB115" s="12" t="s">
        <v>99</v>
      </c>
      <c r="AC115">
        <v>4185</v>
      </c>
      <c r="AD115">
        <v>3935.5</v>
      </c>
      <c r="AE115">
        <v>3474.8</v>
      </c>
      <c r="AG115" s="12" t="s">
        <v>99</v>
      </c>
      <c r="AH115" s="13">
        <v>3.0372076899999998</v>
      </c>
      <c r="AJ115" s="12" t="s">
        <v>99</v>
      </c>
      <c r="AK115" s="13">
        <v>3.6990823399999999</v>
      </c>
      <c r="AL115" s="13">
        <v>3.43987036</v>
      </c>
      <c r="AM115" s="13">
        <v>3.0372076899999998</v>
      </c>
    </row>
    <row r="116" spans="1:39" x14ac:dyDescent="0.3">
      <c r="A116" s="12" t="s">
        <v>98</v>
      </c>
      <c r="B116" s="13">
        <v>0.21248550999999999</v>
      </c>
      <c r="D116" s="12" t="s">
        <v>102</v>
      </c>
      <c r="E116" s="13">
        <v>0.19926711999999999</v>
      </c>
      <c r="F116" s="13">
        <v>0.23827047000000001</v>
      </c>
      <c r="G116" s="13">
        <v>0.24580055000000001</v>
      </c>
      <c r="I116" s="12" t="s">
        <v>102</v>
      </c>
      <c r="J116" s="13">
        <v>9.2959103600000006</v>
      </c>
      <c r="L116" s="12" t="s">
        <v>102</v>
      </c>
      <c r="M116" s="13">
        <v>4.3997634799999998</v>
      </c>
      <c r="N116" s="13">
        <v>7.9984390400000001</v>
      </c>
      <c r="O116" s="13">
        <v>9.2959103600000006</v>
      </c>
      <c r="Q116" s="12" t="s">
        <v>102</v>
      </c>
      <c r="R116">
        <v>2812</v>
      </c>
      <c r="T116" s="12" t="s">
        <v>102</v>
      </c>
      <c r="U116">
        <v>1689</v>
      </c>
      <c r="V116">
        <v>2726</v>
      </c>
      <c r="W116">
        <v>2812</v>
      </c>
      <c r="Y116" s="12" t="s">
        <v>102</v>
      </c>
      <c r="Z116">
        <v>3025.1</v>
      </c>
      <c r="AB116" s="12" t="s">
        <v>102</v>
      </c>
      <c r="AC116">
        <v>3882.4</v>
      </c>
      <c r="AD116">
        <v>3408.2</v>
      </c>
      <c r="AE116">
        <v>3025.1</v>
      </c>
      <c r="AG116" s="12" t="s">
        <v>102</v>
      </c>
      <c r="AH116" s="13">
        <v>2.6441794199999999</v>
      </c>
      <c r="AJ116" s="12" t="s">
        <v>102</v>
      </c>
      <c r="AK116" s="13">
        <v>3.4316146700000001</v>
      </c>
      <c r="AL116" s="13">
        <v>2.9789620999999999</v>
      </c>
      <c r="AM116" s="13">
        <v>2.6441794199999999</v>
      </c>
    </row>
    <row r="117" spans="1:39" x14ac:dyDescent="0.3">
      <c r="A117" s="12" t="s">
        <v>102</v>
      </c>
      <c r="B117" s="13">
        <v>0.24580055000000001</v>
      </c>
      <c r="D117" s="12" t="s">
        <v>103</v>
      </c>
      <c r="E117" s="13">
        <v>0.26882983999999999</v>
      </c>
      <c r="F117" s="13">
        <v>0.34289183000000001</v>
      </c>
      <c r="G117" s="13">
        <v>0.15577827999999999</v>
      </c>
      <c r="I117" s="12" t="s">
        <v>103</v>
      </c>
      <c r="J117" s="13">
        <v>5.1335431199999997</v>
      </c>
      <c r="L117" s="12" t="s">
        <v>103</v>
      </c>
      <c r="M117" s="13">
        <v>4.8825318199999996</v>
      </c>
      <c r="N117" s="13">
        <v>9.0877554099999998</v>
      </c>
      <c r="O117" s="13">
        <v>5.1335431199999997</v>
      </c>
      <c r="Q117" s="12" t="s">
        <v>103</v>
      </c>
      <c r="R117">
        <v>1782</v>
      </c>
      <c r="T117" s="12" t="s">
        <v>103</v>
      </c>
      <c r="U117">
        <v>1910</v>
      </c>
      <c r="V117">
        <v>3923</v>
      </c>
      <c r="W117">
        <v>1782</v>
      </c>
      <c r="Y117" s="12" t="s">
        <v>103</v>
      </c>
      <c r="Z117">
        <v>3471.7</v>
      </c>
      <c r="AB117" s="12" t="s">
        <v>103</v>
      </c>
      <c r="AC117">
        <v>4358.3999999999996</v>
      </c>
      <c r="AD117">
        <v>4316.7</v>
      </c>
      <c r="AE117">
        <v>3471.7</v>
      </c>
      <c r="AG117" s="12" t="s">
        <v>103</v>
      </c>
      <c r="AH117" s="13">
        <v>3.03451775</v>
      </c>
      <c r="AJ117" s="12" t="s">
        <v>103</v>
      </c>
      <c r="AK117" s="13">
        <v>3.85233582</v>
      </c>
      <c r="AL117" s="13">
        <v>3.77311905</v>
      </c>
      <c r="AM117" s="13">
        <v>3.03451775</v>
      </c>
    </row>
    <row r="118" spans="1:39" x14ac:dyDescent="0.3">
      <c r="A118" s="12" t="s">
        <v>104</v>
      </c>
      <c r="B118" s="13">
        <v>0.25332407000000001</v>
      </c>
      <c r="D118" s="12" t="s">
        <v>104</v>
      </c>
      <c r="E118" s="13">
        <v>0.35828281000000001</v>
      </c>
      <c r="F118" s="13">
        <v>0.38075857000000002</v>
      </c>
      <c r="G118" s="13">
        <v>0.25332407000000001</v>
      </c>
      <c r="I118" s="12" t="s">
        <v>104</v>
      </c>
      <c r="J118" s="13">
        <v>8.3406898700000003</v>
      </c>
      <c r="L118" s="12" t="s">
        <v>104</v>
      </c>
      <c r="M118" s="13">
        <v>4.37897508</v>
      </c>
      <c r="N118" s="13">
        <v>11.06898015</v>
      </c>
      <c r="O118" s="13">
        <v>8.3406898700000003</v>
      </c>
      <c r="Q118" s="12" t="s">
        <v>104</v>
      </c>
      <c r="R118">
        <v>2898</v>
      </c>
      <c r="T118" s="12" t="s">
        <v>104</v>
      </c>
      <c r="U118">
        <v>1791</v>
      </c>
      <c r="V118">
        <v>4356</v>
      </c>
      <c r="W118">
        <v>2898</v>
      </c>
      <c r="Y118" s="12" t="s">
        <v>104</v>
      </c>
      <c r="Z118">
        <v>3474.8</v>
      </c>
      <c r="AB118" s="12" t="s">
        <v>104</v>
      </c>
      <c r="AC118">
        <v>4185</v>
      </c>
      <c r="AD118">
        <v>3935.5</v>
      </c>
      <c r="AE118">
        <v>3474.8</v>
      </c>
      <c r="AG118" s="12" t="s">
        <v>104</v>
      </c>
      <c r="AH118" s="13">
        <v>3.0372076899999998</v>
      </c>
      <c r="AJ118" s="12" t="s">
        <v>104</v>
      </c>
      <c r="AK118" s="13">
        <v>3.6990823399999999</v>
      </c>
      <c r="AL118" s="13">
        <v>3.43987036</v>
      </c>
      <c r="AM118" s="13">
        <v>3.0372076899999998</v>
      </c>
    </row>
    <row r="119" spans="1:39" x14ac:dyDescent="0.3">
      <c r="A119" s="12" t="s">
        <v>112</v>
      </c>
      <c r="B119" s="13">
        <v>0.27576682000000002</v>
      </c>
      <c r="D119" s="12" t="s">
        <v>105</v>
      </c>
      <c r="E119" s="13">
        <v>0.27461099</v>
      </c>
      <c r="F119" s="13">
        <v>0.31770343000000001</v>
      </c>
      <c r="G119" s="13">
        <v>0.36247747000000002</v>
      </c>
      <c r="I119" s="12" t="s">
        <v>105</v>
      </c>
      <c r="J119" s="13">
        <v>8.4223454800000006</v>
      </c>
      <c r="L119" s="12" t="s">
        <v>105</v>
      </c>
      <c r="M119" s="13">
        <v>4.46673937</v>
      </c>
      <c r="N119" s="13">
        <v>6.3264364799999999</v>
      </c>
      <c r="O119" s="13">
        <v>8.4223454800000006</v>
      </c>
      <c r="Q119" s="12" t="s">
        <v>105</v>
      </c>
      <c r="R119">
        <v>4147</v>
      </c>
      <c r="T119" s="12" t="s">
        <v>105</v>
      </c>
      <c r="U119">
        <v>2428</v>
      </c>
      <c r="V119">
        <v>3635</v>
      </c>
      <c r="W119">
        <v>4147</v>
      </c>
      <c r="Y119" s="12" t="s">
        <v>105</v>
      </c>
      <c r="Z119">
        <v>4923.8</v>
      </c>
      <c r="AB119" s="12" t="s">
        <v>105</v>
      </c>
      <c r="AC119">
        <v>5462.7</v>
      </c>
      <c r="AD119">
        <v>5745.4</v>
      </c>
      <c r="AE119">
        <v>4923.8</v>
      </c>
      <c r="AG119" s="12" t="s">
        <v>105</v>
      </c>
      <c r="AH119" s="13">
        <v>4.3037592299999998</v>
      </c>
      <c r="AJ119" s="12" t="s">
        <v>105</v>
      </c>
      <c r="AK119" s="13">
        <v>4.82842678</v>
      </c>
      <c r="AL119" s="13">
        <v>5.02183855</v>
      </c>
      <c r="AM119" s="13">
        <v>4.3037592299999998</v>
      </c>
    </row>
    <row r="120" spans="1:39" x14ac:dyDescent="0.3">
      <c r="A120" s="12" t="s">
        <v>99</v>
      </c>
      <c r="B120" s="13">
        <v>0.33583593</v>
      </c>
      <c r="D120" s="12" t="s">
        <v>106</v>
      </c>
      <c r="E120" s="13">
        <v>0.35438803000000002</v>
      </c>
      <c r="F120" s="13">
        <v>7.3980969999999993E-2</v>
      </c>
      <c r="G120" s="13">
        <v>7.3216160000000002E-2</v>
      </c>
      <c r="I120" s="12" t="s">
        <v>106</v>
      </c>
      <c r="J120" s="13">
        <v>2.4106405999999998</v>
      </c>
      <c r="L120" s="12" t="s">
        <v>106</v>
      </c>
      <c r="M120" s="13">
        <v>4.4703115100000002</v>
      </c>
      <c r="N120" s="13">
        <v>2.1506906400000001</v>
      </c>
      <c r="O120" s="13">
        <v>2.4106405999999998</v>
      </c>
      <c r="Q120" s="12" t="s">
        <v>106</v>
      </c>
      <c r="R120">
        <v>838</v>
      </c>
      <c r="T120" s="12" t="s">
        <v>106</v>
      </c>
      <c r="U120">
        <v>615</v>
      </c>
      <c r="V120">
        <v>846</v>
      </c>
      <c r="W120">
        <v>838</v>
      </c>
      <c r="Y120" s="12" t="s">
        <v>106</v>
      </c>
      <c r="Z120">
        <v>3474.8</v>
      </c>
      <c r="AB120" s="12" t="s">
        <v>106</v>
      </c>
      <c r="AC120">
        <v>4185</v>
      </c>
      <c r="AD120">
        <v>3935.5</v>
      </c>
      <c r="AE120">
        <v>3474.8</v>
      </c>
      <c r="AG120" s="12" t="s">
        <v>106</v>
      </c>
      <c r="AH120" s="13">
        <v>3.0372076899999998</v>
      </c>
      <c r="AJ120" s="12" t="s">
        <v>106</v>
      </c>
      <c r="AK120" s="13">
        <v>3.6990823399999999</v>
      </c>
      <c r="AL120" s="13">
        <v>3.43987036</v>
      </c>
      <c r="AM120" s="13">
        <v>3.0372076899999998</v>
      </c>
    </row>
    <row r="121" spans="1:39" x14ac:dyDescent="0.3">
      <c r="A121" s="12" t="s">
        <v>107</v>
      </c>
      <c r="B121" s="13">
        <v>0.3431322</v>
      </c>
      <c r="D121" s="12" t="s">
        <v>107</v>
      </c>
      <c r="E121" s="13">
        <v>0.47609348000000001</v>
      </c>
      <c r="F121" s="13">
        <v>0.47547348</v>
      </c>
      <c r="G121" s="13">
        <v>0.3431322</v>
      </c>
      <c r="I121" s="12" t="s">
        <v>107</v>
      </c>
      <c r="J121" s="13">
        <v>7.9728484100000001</v>
      </c>
      <c r="L121" s="12" t="s">
        <v>107</v>
      </c>
      <c r="M121" s="13">
        <v>5.78915164</v>
      </c>
      <c r="N121" s="13">
        <v>9.4681156600000005</v>
      </c>
      <c r="O121" s="13">
        <v>7.9728484100000001</v>
      </c>
      <c r="Q121" s="12" t="s">
        <v>107</v>
      </c>
      <c r="R121">
        <v>3926</v>
      </c>
      <c r="T121" s="12" t="s">
        <v>107</v>
      </c>
      <c r="U121">
        <v>4255</v>
      </c>
      <c r="V121">
        <v>5440</v>
      </c>
      <c r="W121">
        <v>3926</v>
      </c>
      <c r="Y121" s="12" t="s">
        <v>107</v>
      </c>
      <c r="Z121">
        <v>4923.8</v>
      </c>
      <c r="AB121" s="12" t="s">
        <v>107</v>
      </c>
      <c r="AC121">
        <v>5462.7</v>
      </c>
      <c r="AD121">
        <v>5745.4</v>
      </c>
      <c r="AE121">
        <v>4923.8</v>
      </c>
      <c r="AG121" s="12" t="s">
        <v>107</v>
      </c>
      <c r="AH121" s="13">
        <v>4.3037592299999998</v>
      </c>
      <c r="AJ121" s="12" t="s">
        <v>107</v>
      </c>
      <c r="AK121" s="13">
        <v>4.82842678</v>
      </c>
      <c r="AL121" s="13">
        <v>5.02183855</v>
      </c>
      <c r="AM121" s="13">
        <v>4.3037592299999998</v>
      </c>
    </row>
    <row r="122" spans="1:39" x14ac:dyDescent="0.3">
      <c r="A122" s="12" t="s">
        <v>105</v>
      </c>
      <c r="B122" s="13">
        <v>0.36247747000000002</v>
      </c>
      <c r="D122" s="12" t="s">
        <v>108</v>
      </c>
      <c r="E122" s="13">
        <v>0.32660512000000003</v>
      </c>
      <c r="F122" s="13">
        <v>0</v>
      </c>
      <c r="G122" s="13">
        <v>0</v>
      </c>
      <c r="I122" s="12" t="s">
        <v>108</v>
      </c>
      <c r="J122" s="13">
        <v>0</v>
      </c>
      <c r="L122" s="12" t="s">
        <v>108</v>
      </c>
      <c r="M122" s="13">
        <v>0.94331202999999997</v>
      </c>
      <c r="N122" s="13">
        <v>0</v>
      </c>
      <c r="O122" s="13">
        <v>0</v>
      </c>
      <c r="Q122" s="12" t="s">
        <v>108</v>
      </c>
      <c r="R122">
        <v>0</v>
      </c>
      <c r="T122" s="12" t="s">
        <v>108</v>
      </c>
      <c r="U122">
        <v>301</v>
      </c>
      <c r="V122">
        <v>0</v>
      </c>
      <c r="W122">
        <v>0</v>
      </c>
      <c r="Y122" s="12" t="s">
        <v>108</v>
      </c>
      <c r="Z122">
        <v>0</v>
      </c>
      <c r="AB122" s="12" t="s">
        <v>108</v>
      </c>
      <c r="AC122">
        <v>6789.8</v>
      </c>
      <c r="AD122">
        <v>0</v>
      </c>
      <c r="AE122">
        <v>0</v>
      </c>
      <c r="AG122" s="12" t="s">
        <v>108</v>
      </c>
      <c r="AH122" s="13">
        <v>0</v>
      </c>
      <c r="AJ122" s="12" t="s">
        <v>108</v>
      </c>
      <c r="AK122" s="13">
        <v>6.0014442800000003</v>
      </c>
      <c r="AL122" s="13">
        <v>0</v>
      </c>
      <c r="AM122" s="13">
        <v>0</v>
      </c>
    </row>
    <row r="123" spans="1:39" x14ac:dyDescent="0.3">
      <c r="A123" s="12" t="s">
        <v>100</v>
      </c>
      <c r="B123" s="13">
        <v>0.46504915000000002</v>
      </c>
      <c r="D123" s="12" t="s">
        <v>109</v>
      </c>
      <c r="E123" s="13">
        <v>0.56010238999999995</v>
      </c>
      <c r="F123" s="13">
        <v>4.0263859999999999E-2</v>
      </c>
      <c r="G123" s="13">
        <v>5.8892399999999998E-2</v>
      </c>
      <c r="I123" s="12" t="s">
        <v>109</v>
      </c>
      <c r="J123" s="13">
        <v>2.2272467699999998</v>
      </c>
      <c r="L123" s="12" t="s">
        <v>109</v>
      </c>
      <c r="M123" s="13">
        <v>1.9514317800000001</v>
      </c>
      <c r="N123" s="13">
        <v>1.3516071000000001</v>
      </c>
      <c r="O123" s="13">
        <v>2.2272467699999998</v>
      </c>
      <c r="Q123" s="12" t="s">
        <v>109</v>
      </c>
      <c r="R123">
        <v>674</v>
      </c>
      <c r="T123" s="12" t="s">
        <v>109</v>
      </c>
      <c r="U123">
        <v>680</v>
      </c>
      <c r="V123">
        <v>461</v>
      </c>
      <c r="W123">
        <v>674</v>
      </c>
      <c r="Y123" s="12" t="s">
        <v>109</v>
      </c>
      <c r="Z123">
        <v>3025.1</v>
      </c>
      <c r="AB123" s="12" t="s">
        <v>109</v>
      </c>
      <c r="AC123">
        <v>3882.4</v>
      </c>
      <c r="AD123">
        <v>3408.2</v>
      </c>
      <c r="AE123">
        <v>3025.1</v>
      </c>
      <c r="AG123" s="12" t="s">
        <v>109</v>
      </c>
      <c r="AH123" s="13">
        <v>2.6441794199999999</v>
      </c>
      <c r="AJ123" s="12" t="s">
        <v>109</v>
      </c>
      <c r="AK123" s="13">
        <v>3.4316146700000001</v>
      </c>
      <c r="AL123" s="13">
        <v>2.9789620999999999</v>
      </c>
      <c r="AM123" s="13">
        <v>2.6441794199999999</v>
      </c>
    </row>
    <row r="124" spans="1:39" x14ac:dyDescent="0.3">
      <c r="A124" s="12" t="s">
        <v>111</v>
      </c>
      <c r="B124" s="13">
        <v>0.52854951999999999</v>
      </c>
      <c r="D124" s="12" t="s">
        <v>110</v>
      </c>
      <c r="E124" s="13">
        <v>0.29797393999999999</v>
      </c>
      <c r="F124" s="13">
        <v>0.20071621000000001</v>
      </c>
      <c r="G124" s="13">
        <v>0.10322940999999999</v>
      </c>
      <c r="I124" s="12" t="s">
        <v>110</v>
      </c>
      <c r="J124" s="13">
        <v>3.4018391399999999</v>
      </c>
      <c r="L124" s="12" t="s">
        <v>110</v>
      </c>
      <c r="M124" s="13">
        <v>4.1390624799999998</v>
      </c>
      <c r="N124" s="13">
        <v>5.3196362800000001</v>
      </c>
      <c r="O124" s="13">
        <v>3.4018391399999999</v>
      </c>
      <c r="Q124" s="12" t="s">
        <v>110</v>
      </c>
      <c r="R124">
        <v>1181</v>
      </c>
      <c r="T124" s="12" t="s">
        <v>110</v>
      </c>
      <c r="U124">
        <v>2240</v>
      </c>
      <c r="V124">
        <v>2296</v>
      </c>
      <c r="W124">
        <v>1181</v>
      </c>
      <c r="Y124" s="12" t="s">
        <v>110</v>
      </c>
      <c r="Z124">
        <v>3471.7</v>
      </c>
      <c r="AB124" s="12" t="s">
        <v>110</v>
      </c>
      <c r="AC124">
        <v>4358.3999999999996</v>
      </c>
      <c r="AD124">
        <v>4316.7</v>
      </c>
      <c r="AE124">
        <v>3471.7</v>
      </c>
      <c r="AG124" s="12" t="s">
        <v>110</v>
      </c>
      <c r="AH124" s="13">
        <v>3.03451775</v>
      </c>
      <c r="AJ124" s="12" t="s">
        <v>110</v>
      </c>
      <c r="AK124" s="13">
        <v>3.85233582</v>
      </c>
      <c r="AL124" s="13">
        <v>3.77311905</v>
      </c>
      <c r="AM124" s="13">
        <v>3.03451775</v>
      </c>
    </row>
    <row r="125" spans="1:39" x14ac:dyDescent="0.3">
      <c r="A125" s="12" t="s">
        <v>101</v>
      </c>
      <c r="B125" s="13">
        <v>0.63195210000000002</v>
      </c>
      <c r="D125" s="12" t="s">
        <v>111</v>
      </c>
      <c r="E125" s="13">
        <v>0.49184111000000003</v>
      </c>
      <c r="F125" s="13">
        <v>0.65933005</v>
      </c>
      <c r="G125" s="13">
        <v>0.52854951999999999</v>
      </c>
      <c r="I125" s="12" t="s">
        <v>111</v>
      </c>
      <c r="J125" s="13">
        <v>10.026556530000001</v>
      </c>
      <c r="L125" s="12" t="s">
        <v>111</v>
      </c>
      <c r="M125" s="13">
        <v>6.4002691</v>
      </c>
      <c r="N125" s="13">
        <v>11.88850542</v>
      </c>
      <c r="O125" s="13">
        <v>10.026556530000001</v>
      </c>
      <c r="Q125" s="12" t="s">
        <v>111</v>
      </c>
      <c r="R125">
        <v>6047</v>
      </c>
      <c r="T125" s="12" t="s">
        <v>111</v>
      </c>
      <c r="U125">
        <v>4433</v>
      </c>
      <c r="V125">
        <v>7543</v>
      </c>
      <c r="W125">
        <v>6047</v>
      </c>
      <c r="Y125" s="12" t="s">
        <v>111</v>
      </c>
      <c r="Z125">
        <v>6031</v>
      </c>
      <c r="AB125" s="12" t="s">
        <v>111</v>
      </c>
      <c r="AC125">
        <v>6519.1</v>
      </c>
      <c r="AD125">
        <v>6345</v>
      </c>
      <c r="AE125">
        <v>6031</v>
      </c>
      <c r="AG125" s="12" t="s">
        <v>111</v>
      </c>
      <c r="AH125" s="13">
        <v>5.2714959099999996</v>
      </c>
      <c r="AJ125" s="12" t="s">
        <v>111</v>
      </c>
      <c r="AK125" s="13">
        <v>5.7621412400000001</v>
      </c>
      <c r="AL125" s="13">
        <v>5.5459456200000004</v>
      </c>
      <c r="AM125" s="13">
        <v>5.2714959099999996</v>
      </c>
    </row>
    <row r="126" spans="1:39" x14ac:dyDescent="0.3">
      <c r="A126" s="12" t="s">
        <v>97</v>
      </c>
      <c r="B126" s="13">
        <v>0.72961480999999995</v>
      </c>
      <c r="D126" s="12" t="s">
        <v>112</v>
      </c>
      <c r="E126" s="13">
        <v>0.20728421</v>
      </c>
      <c r="F126" s="13">
        <v>0.40760442000000002</v>
      </c>
      <c r="G126" s="13">
        <v>0.27576682000000002</v>
      </c>
      <c r="I126" s="12" t="s">
        <v>112</v>
      </c>
      <c r="J126" s="13">
        <v>7.5144692800000001</v>
      </c>
      <c r="L126" s="12" t="s">
        <v>112</v>
      </c>
      <c r="M126" s="13">
        <v>7.34270947</v>
      </c>
      <c r="N126" s="13">
        <v>9.4480453700000009</v>
      </c>
      <c r="O126" s="13">
        <v>7.5144692800000001</v>
      </c>
      <c r="Q126" s="12" t="s">
        <v>112</v>
      </c>
      <c r="R126">
        <v>3155</v>
      </c>
      <c r="T126" s="12" t="s">
        <v>112</v>
      </c>
      <c r="U126">
        <v>3476</v>
      </c>
      <c r="V126">
        <v>4663</v>
      </c>
      <c r="W126">
        <v>3155</v>
      </c>
      <c r="Y126" s="12" t="s">
        <v>112</v>
      </c>
      <c r="Z126">
        <v>4198.6000000000004</v>
      </c>
      <c r="AB126" s="12" t="s">
        <v>112</v>
      </c>
      <c r="AC126">
        <v>4867.2</v>
      </c>
      <c r="AD126">
        <v>4935.7</v>
      </c>
      <c r="AE126">
        <v>4198.6000000000004</v>
      </c>
      <c r="AG126" s="12" t="s">
        <v>112</v>
      </c>
      <c r="AH126" s="13">
        <v>3.6698109699999999</v>
      </c>
      <c r="AJ126" s="12" t="s">
        <v>112</v>
      </c>
      <c r="AK126" s="13">
        <v>4.3020679299999998</v>
      </c>
      <c r="AL126" s="13">
        <v>4.3141666299999999</v>
      </c>
      <c r="AM126" s="13">
        <v>3.6698109699999999</v>
      </c>
    </row>
    <row r="127" spans="1:39" x14ac:dyDescent="0.3">
      <c r="A127" s="11" t="s">
        <v>54</v>
      </c>
      <c r="B127" s="13">
        <v>13.03947093</v>
      </c>
      <c r="D127" s="11" t="s">
        <v>54</v>
      </c>
      <c r="E127" s="13">
        <v>18.34633767</v>
      </c>
      <c r="F127" s="13">
        <v>18.174218500000002</v>
      </c>
      <c r="G127" s="13">
        <v>13.03947093</v>
      </c>
      <c r="I127" s="11" t="s">
        <v>54</v>
      </c>
      <c r="J127" s="13">
        <v>348.66903720000005</v>
      </c>
      <c r="L127" s="11" t="s">
        <v>54</v>
      </c>
      <c r="M127" s="13">
        <v>396.46542635999998</v>
      </c>
      <c r="N127" s="13">
        <v>425.90840504999994</v>
      </c>
      <c r="O127" s="13">
        <v>348.66903720000005</v>
      </c>
      <c r="Q127" s="11" t="s">
        <v>54</v>
      </c>
      <c r="R127">
        <v>122867</v>
      </c>
      <c r="T127" s="11" t="s">
        <v>54</v>
      </c>
      <c r="U127">
        <v>153724</v>
      </c>
      <c r="V127">
        <v>165184</v>
      </c>
      <c r="W127">
        <v>122867</v>
      </c>
      <c r="Y127" s="11" t="s">
        <v>54</v>
      </c>
      <c r="Z127">
        <v>148928.50000000003</v>
      </c>
      <c r="AB127" s="11" t="s">
        <v>54</v>
      </c>
      <c r="AC127">
        <v>178437.7</v>
      </c>
      <c r="AD127">
        <v>164759.00000000003</v>
      </c>
      <c r="AE127">
        <v>148928.50000000003</v>
      </c>
      <c r="AG127" s="11" t="s">
        <v>54</v>
      </c>
      <c r="AH127" s="13">
        <v>156.63253004999996</v>
      </c>
      <c r="AJ127" s="11" t="s">
        <v>54</v>
      </c>
      <c r="AK127" s="13">
        <v>194.93617845999995</v>
      </c>
      <c r="AL127" s="13">
        <v>176.3650186399999</v>
      </c>
      <c r="AM127" s="13">
        <v>156.63253004999996</v>
      </c>
    </row>
    <row r="130" spans="4:38" x14ac:dyDescent="0.3">
      <c r="D130" s="10" t="s">
        <v>53</v>
      </c>
      <c r="L130" s="10" t="s">
        <v>53</v>
      </c>
      <c r="T130" s="10" t="s">
        <v>53</v>
      </c>
      <c r="AB130" s="10" t="s">
        <v>53</v>
      </c>
      <c r="AJ130" s="10" t="s">
        <v>53</v>
      </c>
    </row>
    <row r="131" spans="4:38" x14ac:dyDescent="0.3">
      <c r="D131" s="11" t="s">
        <v>12</v>
      </c>
      <c r="L131" s="11" t="s">
        <v>12</v>
      </c>
      <c r="T131" s="11" t="s">
        <v>12</v>
      </c>
      <c r="AB131" s="11" t="s">
        <v>12</v>
      </c>
      <c r="AJ131" s="11" t="s">
        <v>12</v>
      </c>
    </row>
    <row r="132" spans="4:38" x14ac:dyDescent="0.3">
      <c r="D132" s="11" t="s">
        <v>10</v>
      </c>
      <c r="E132">
        <f>COUNTA(D131:D134)</f>
        <v>4</v>
      </c>
      <c r="L132" s="11" t="s">
        <v>10</v>
      </c>
      <c r="M132">
        <f>COUNTA(L131:L134)</f>
        <v>4</v>
      </c>
      <c r="T132" s="11" t="s">
        <v>10</v>
      </c>
      <c r="U132">
        <f>COUNTA(T131:T134)</f>
        <v>4</v>
      </c>
      <c r="AB132" s="11" t="s">
        <v>10</v>
      </c>
      <c r="AC132">
        <f>COUNTA(AB131:AB134)</f>
        <v>4</v>
      </c>
      <c r="AJ132" s="11" t="s">
        <v>10</v>
      </c>
      <c r="AK132">
        <f>COUNTA(AJ131:AJ134)</f>
        <v>4</v>
      </c>
    </row>
    <row r="133" spans="4:38" x14ac:dyDescent="0.3">
      <c r="D133" s="11" t="s">
        <v>11</v>
      </c>
      <c r="E133" t="str">
        <f>IF(E132=2,D131,"P25-54")</f>
        <v>P25-54</v>
      </c>
      <c r="F133">
        <f>ROW()</f>
        <v>133</v>
      </c>
      <c r="L133" s="11" t="s">
        <v>11</v>
      </c>
      <c r="M133" t="str">
        <f>IF(M132=2,L131,"P25-54")</f>
        <v>P25-54</v>
      </c>
      <c r="N133">
        <f>ROW()</f>
        <v>133</v>
      </c>
      <c r="T133" s="11" t="s">
        <v>11</v>
      </c>
      <c r="U133" t="str">
        <f>IF(U132=2,T131,"P25-54")</f>
        <v>P25-54</v>
      </c>
      <c r="V133">
        <f>ROW()</f>
        <v>133</v>
      </c>
      <c r="AB133" s="11" t="s">
        <v>11</v>
      </c>
      <c r="AC133" t="str">
        <f>IF(AC132=2,AB131,"P25-54")</f>
        <v>P25-54</v>
      </c>
      <c r="AD133">
        <f>ROW()</f>
        <v>133</v>
      </c>
      <c r="AJ133" s="11" t="s">
        <v>11</v>
      </c>
      <c r="AK133" t="str">
        <f>IF(AK132=2,AJ131,"P25-54")</f>
        <v>P25-54</v>
      </c>
      <c r="AL133">
        <f>ROW()</f>
        <v>133</v>
      </c>
    </row>
    <row r="134" spans="4:38" x14ac:dyDescent="0.3">
      <c r="D134" s="11" t="s">
        <v>54</v>
      </c>
      <c r="L134" s="11" t="s">
        <v>54</v>
      </c>
      <c r="T134" s="11" t="s">
        <v>54</v>
      </c>
      <c r="AB134" s="11" t="s">
        <v>54</v>
      </c>
      <c r="AJ134" s="11" t="s">
        <v>54</v>
      </c>
    </row>
  </sheetData>
  <sortState xmlns:xlrd2="http://schemas.microsoft.com/office/spreadsheetml/2017/richdata2" ref="BP3:BQ18">
    <sortCondition descending="1" ref="BQ3"/>
  </sortState>
  <dataConsolidate/>
  <mergeCells count="31">
    <mergeCell ref="CN1:CO1"/>
    <mergeCell ref="CQ1:CR1"/>
    <mergeCell ref="CT1:CU1"/>
    <mergeCell ref="BY1:BZ1"/>
    <mergeCell ref="CB1:CC1"/>
    <mergeCell ref="CE1:CF1"/>
    <mergeCell ref="CH1:CI1"/>
    <mergeCell ref="CK1:CL1"/>
    <mergeCell ref="G1:U1"/>
    <mergeCell ref="BJ1:BK1"/>
    <mergeCell ref="A1:A3"/>
    <mergeCell ref="B1:B3"/>
    <mergeCell ref="C1:C3"/>
    <mergeCell ref="D1:D3"/>
    <mergeCell ref="E1:E3"/>
    <mergeCell ref="AU2:AY2"/>
    <mergeCell ref="V1:AJ1"/>
    <mergeCell ref="AK1:AY1"/>
    <mergeCell ref="G2:K2"/>
    <mergeCell ref="L2:P2"/>
    <mergeCell ref="Q2:U2"/>
    <mergeCell ref="V2:Z2"/>
    <mergeCell ref="AA2:AE2"/>
    <mergeCell ref="BV1:BW1"/>
    <mergeCell ref="BF7:BG7"/>
    <mergeCell ref="AF2:AJ2"/>
    <mergeCell ref="AK2:AO2"/>
    <mergeCell ref="BM1:BN1"/>
    <mergeCell ref="BP1:BQ1"/>
    <mergeCell ref="BS1:BT1"/>
    <mergeCell ref="AP2:AT2"/>
  </mergeCells>
  <phoneticPr fontId="4" type="noConversion"/>
  <pageMargins left="0.7" right="0.7" top="0.75" bottom="0.75" header="0.3" footer="0.3"/>
  <pageSetup orientation="portrait" r:id="rId21"/>
  <tableParts count="5">
    <tablePart r:id="rId22"/>
    <tablePart r:id="rId23"/>
    <tablePart r:id="rId24"/>
    <tablePart r:id="rId25"/>
    <tablePart r:id="rId2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B00B17-9651-42EE-8178-69ECD3276DF3}">
  <sheetPr codeName="Sheet3"/>
  <dimension ref="A1:CU59"/>
  <sheetViews>
    <sheetView workbookViewId="0">
      <selection activeCell="BU35" sqref="BU35"/>
    </sheetView>
  </sheetViews>
  <sheetFormatPr defaultRowHeight="14.4" x14ac:dyDescent="0.3"/>
  <cols>
    <col min="1" max="1" width="18.33203125" bestFit="1" customWidth="1"/>
    <col min="2" max="2" width="6.5546875" bestFit="1" customWidth="1"/>
    <col min="4" max="4" width="18.33203125" bestFit="1" customWidth="1"/>
    <col min="5" max="5" width="8.88671875" bestFit="1" customWidth="1"/>
    <col min="6" max="6" width="10.88671875" bestFit="1" customWidth="1"/>
    <col min="7" max="7" width="7.6640625" bestFit="1" customWidth="1"/>
    <col min="9" max="9" width="18.33203125" bestFit="1" customWidth="1"/>
    <col min="10" max="10" width="6.44140625" bestFit="1" customWidth="1"/>
    <col min="12" max="12" width="13.109375" bestFit="1" customWidth="1"/>
    <col min="13" max="13" width="8.88671875" bestFit="1" customWidth="1"/>
    <col min="14" max="14" width="10.88671875" bestFit="1" customWidth="1"/>
    <col min="15" max="15" width="7.6640625" bestFit="1" customWidth="1"/>
    <col min="17" max="17" width="18.33203125" bestFit="1" customWidth="1"/>
    <col min="18" max="18" width="6" bestFit="1" customWidth="1"/>
    <col min="20" max="20" width="13.109375" bestFit="1" customWidth="1"/>
    <col min="21" max="21" width="8.88671875" bestFit="1" customWidth="1"/>
    <col min="22" max="22" width="10.88671875" bestFit="1" customWidth="1"/>
    <col min="23" max="23" width="7.6640625" bestFit="1" customWidth="1"/>
    <col min="25" max="25" width="18.33203125" bestFit="1" customWidth="1"/>
    <col min="26" max="26" width="8.33203125" bestFit="1" customWidth="1"/>
    <col min="28" max="28" width="13.109375" bestFit="1" customWidth="1"/>
    <col min="29" max="29" width="8.88671875" bestFit="1" customWidth="1"/>
    <col min="30" max="30" width="10.88671875" bestFit="1" customWidth="1"/>
    <col min="31" max="31" width="8" bestFit="1" customWidth="1"/>
    <col min="33" max="33" width="18.33203125" bestFit="1" customWidth="1"/>
    <col min="34" max="34" width="6.33203125" bestFit="1" customWidth="1"/>
    <col min="36" max="36" width="13.109375" bestFit="1" customWidth="1"/>
    <col min="37" max="37" width="8.88671875" bestFit="1" customWidth="1"/>
    <col min="38" max="38" width="10.88671875" bestFit="1" customWidth="1"/>
    <col min="39" max="39" width="7.6640625" bestFit="1" customWidth="1"/>
    <col min="57" max="57" width="13.5546875" bestFit="1" customWidth="1"/>
    <col min="58" max="59" width="22.33203125" bestFit="1" customWidth="1"/>
    <col min="60" max="60" width="11" bestFit="1" customWidth="1"/>
    <col min="61" max="61" width="15" customWidth="1"/>
    <col min="62" max="62" width="19.44140625" customWidth="1"/>
    <col min="63" max="63" width="12" customWidth="1"/>
    <col min="64" max="64" width="13.88671875" customWidth="1"/>
    <col min="65" max="65" width="14" customWidth="1"/>
    <col min="66" max="66" width="11" bestFit="1" customWidth="1"/>
    <col min="67" max="67" width="16.5546875" customWidth="1"/>
    <col min="68" max="68" width="14.6640625" customWidth="1"/>
    <col min="69" max="69" width="8.44140625" bestFit="1" customWidth="1"/>
    <col min="70" max="70" width="14.33203125" customWidth="1"/>
    <col min="71" max="71" width="17.5546875" bestFit="1" customWidth="1"/>
    <col min="72" max="72" width="11" bestFit="1" customWidth="1"/>
    <col min="73" max="73" width="14.5546875" bestFit="1" customWidth="1"/>
    <col min="74" max="74" width="11" bestFit="1" customWidth="1"/>
    <col min="75" max="75" width="8.44140625" bestFit="1" customWidth="1"/>
    <col min="76" max="76" width="16.33203125" customWidth="1"/>
    <col min="77" max="77" width="16.44140625" bestFit="1" customWidth="1"/>
    <col min="78" max="78" width="9" bestFit="1" customWidth="1"/>
    <col min="79" max="79" width="14.5546875" bestFit="1" customWidth="1"/>
    <col min="80" max="80" width="11" bestFit="1" customWidth="1"/>
    <col min="81" max="81" width="8.44140625" bestFit="1" customWidth="1"/>
    <col min="82" max="82" width="11" bestFit="1" customWidth="1"/>
    <col min="83" max="83" width="16.44140625" bestFit="1" customWidth="1"/>
    <col min="84" max="84" width="11" bestFit="1" customWidth="1"/>
    <col min="85" max="85" width="14.5546875" bestFit="1" customWidth="1"/>
    <col min="86" max="86" width="10" bestFit="1" customWidth="1"/>
    <col min="87" max="87" width="8.44140625" bestFit="1" customWidth="1"/>
    <col min="88" max="88" width="10" bestFit="1" customWidth="1"/>
    <col min="89" max="89" width="16.44140625" bestFit="1" customWidth="1"/>
    <col min="90" max="90" width="11" bestFit="1" customWidth="1"/>
    <col min="91" max="91" width="14.5546875" bestFit="1" customWidth="1"/>
    <col min="92" max="92" width="10" bestFit="1" customWidth="1"/>
    <col min="93" max="93" width="8.44140625" bestFit="1" customWidth="1"/>
    <col min="94" max="94" width="11" bestFit="1" customWidth="1"/>
    <col min="95" max="95" width="16.44140625" bestFit="1" customWidth="1"/>
    <col min="96" max="96" width="11" bestFit="1" customWidth="1"/>
    <col min="97" max="97" width="14.5546875" bestFit="1" customWidth="1"/>
    <col min="98" max="98" width="11" bestFit="1" customWidth="1"/>
    <col min="99" max="99" width="8.44140625" bestFit="1" customWidth="1"/>
    <col min="101" max="101" width="17.5546875" bestFit="1" customWidth="1"/>
    <col min="103" max="103" width="17.5546875" bestFit="1" customWidth="1"/>
    <col min="105" max="105" width="17.5546875" bestFit="1" customWidth="1"/>
    <col min="107" max="107" width="17.5546875" bestFit="1" customWidth="1"/>
    <col min="110" max="110" width="17.5546875" bestFit="1" customWidth="1"/>
  </cols>
  <sheetData>
    <row r="1" spans="1:99" ht="15" thickBot="1" x14ac:dyDescent="0.35">
      <c r="A1" s="53" t="s">
        <v>0</v>
      </c>
      <c r="B1" s="53" t="s">
        <v>1</v>
      </c>
      <c r="C1" s="54" t="s">
        <v>2</v>
      </c>
      <c r="D1" s="54" t="s">
        <v>3</v>
      </c>
      <c r="E1" s="54" t="s">
        <v>4</v>
      </c>
      <c r="F1" s="2" t="s">
        <v>5</v>
      </c>
      <c r="G1" s="52" t="s">
        <v>6</v>
      </c>
      <c r="H1" s="52"/>
      <c r="I1" s="52"/>
      <c r="J1" s="52"/>
      <c r="K1" s="52"/>
      <c r="L1" s="52"/>
      <c r="M1" s="52"/>
      <c r="N1" s="52"/>
      <c r="O1" s="52"/>
      <c r="P1" s="52"/>
      <c r="Q1" s="52"/>
      <c r="R1" s="52"/>
      <c r="S1" s="52"/>
      <c r="T1" s="52"/>
      <c r="U1" s="52"/>
      <c r="V1" s="52" t="s">
        <v>7</v>
      </c>
      <c r="W1" s="52"/>
      <c r="X1" s="52"/>
      <c r="Y1" s="52"/>
      <c r="Z1" s="52"/>
      <c r="AA1" s="52"/>
      <c r="AB1" s="52"/>
      <c r="AC1" s="52"/>
      <c r="AD1" s="52"/>
      <c r="AE1" s="52"/>
      <c r="AF1" s="52"/>
      <c r="AG1" s="52"/>
      <c r="AH1" s="52"/>
      <c r="AI1" s="52"/>
      <c r="AJ1" s="52"/>
      <c r="AK1" s="52" t="s">
        <v>8</v>
      </c>
      <c r="AL1" s="52"/>
      <c r="AM1" s="52"/>
      <c r="AN1" s="52"/>
      <c r="AO1" s="52"/>
      <c r="AP1" s="52"/>
      <c r="AQ1" s="52"/>
      <c r="AR1" s="52"/>
      <c r="AS1" s="52"/>
      <c r="AT1" s="52"/>
      <c r="AU1" s="52"/>
      <c r="AV1" s="52"/>
      <c r="AW1" s="52"/>
      <c r="AX1" s="52"/>
      <c r="AY1" s="52"/>
      <c r="BE1" s="37" t="s">
        <v>69</v>
      </c>
      <c r="BF1" s="38" t="str">
        <f>_xlfn.CONCAT(BG4,BG2,BH1,BG3)</f>
        <v>='Midday Programs'!E56</v>
      </c>
      <c r="BG1" t="s">
        <v>47</v>
      </c>
      <c r="BH1" s="21" t="s">
        <v>74</v>
      </c>
      <c r="BJ1" s="51" t="s">
        <v>80</v>
      </c>
      <c r="BK1" s="51"/>
      <c r="BM1" s="51" t="s">
        <v>81</v>
      </c>
      <c r="BN1" s="51"/>
      <c r="BP1" s="51" t="s">
        <v>82</v>
      </c>
      <c r="BQ1" s="51"/>
      <c r="BS1" s="51" t="s">
        <v>83</v>
      </c>
      <c r="BT1" s="51"/>
      <c r="BV1" s="51" t="s">
        <v>83</v>
      </c>
      <c r="BW1" s="51"/>
      <c r="BY1" s="51" t="s">
        <v>55</v>
      </c>
      <c r="BZ1" s="51"/>
      <c r="CB1" s="51" t="s">
        <v>55</v>
      </c>
      <c r="CC1" s="51"/>
      <c r="CE1" s="51" t="s">
        <v>84</v>
      </c>
      <c r="CF1" s="51"/>
      <c r="CH1" s="51" t="s">
        <v>84</v>
      </c>
      <c r="CI1" s="51"/>
      <c r="CK1" s="51" t="s">
        <v>85</v>
      </c>
      <c r="CL1" s="51"/>
      <c r="CN1" s="51" t="s">
        <v>85</v>
      </c>
      <c r="CO1" s="51"/>
      <c r="CQ1" s="51" t="s">
        <v>44</v>
      </c>
      <c r="CR1" s="51"/>
      <c r="CT1" s="51" t="s">
        <v>44</v>
      </c>
      <c r="CU1" s="51"/>
    </row>
    <row r="2" spans="1:99" ht="15" thickBot="1" x14ac:dyDescent="0.35">
      <c r="A2" s="53" t="s">
        <v>0</v>
      </c>
      <c r="B2" s="53" t="s">
        <v>1</v>
      </c>
      <c r="C2" s="54"/>
      <c r="D2" s="54"/>
      <c r="E2" s="54"/>
      <c r="F2" s="1" t="s">
        <v>9</v>
      </c>
      <c r="G2" s="52" t="s">
        <v>10</v>
      </c>
      <c r="H2" s="52"/>
      <c r="I2" s="52"/>
      <c r="J2" s="52"/>
      <c r="K2" s="52"/>
      <c r="L2" s="52" t="s">
        <v>11</v>
      </c>
      <c r="M2" s="52"/>
      <c r="N2" s="52"/>
      <c r="O2" s="52"/>
      <c r="P2" s="52"/>
      <c r="Q2" s="52" t="s">
        <v>12</v>
      </c>
      <c r="R2" s="52"/>
      <c r="S2" s="52"/>
      <c r="T2" s="52"/>
      <c r="U2" s="52"/>
      <c r="V2" s="52" t="s">
        <v>10</v>
      </c>
      <c r="W2" s="52"/>
      <c r="X2" s="52"/>
      <c r="Y2" s="52"/>
      <c r="Z2" s="52"/>
      <c r="AA2" s="52" t="s">
        <v>11</v>
      </c>
      <c r="AB2" s="52"/>
      <c r="AC2" s="52"/>
      <c r="AD2" s="52"/>
      <c r="AE2" s="52"/>
      <c r="AF2" s="52" t="s">
        <v>12</v>
      </c>
      <c r="AG2" s="52"/>
      <c r="AH2" s="52"/>
      <c r="AI2" s="52"/>
      <c r="AJ2" s="52"/>
      <c r="AK2" s="52" t="s">
        <v>10</v>
      </c>
      <c r="AL2" s="52"/>
      <c r="AM2" s="52"/>
      <c r="AN2" s="52"/>
      <c r="AO2" s="52"/>
      <c r="AP2" s="52" t="s">
        <v>11</v>
      </c>
      <c r="AQ2" s="52"/>
      <c r="AR2" s="52"/>
      <c r="AS2" s="52"/>
      <c r="AT2" s="52"/>
      <c r="AU2" s="52" t="s">
        <v>12</v>
      </c>
      <c r="AV2" s="52"/>
      <c r="AW2" s="52"/>
      <c r="AX2" s="52"/>
      <c r="AY2" s="52"/>
      <c r="BE2" s="37" t="s">
        <v>70</v>
      </c>
      <c r="BF2" s="39" t="str">
        <f>_xlfn.CONCAT(BG4,BG2,BH2,BG3)</f>
        <v>='Midday Programs'!M56</v>
      </c>
      <c r="BG2" t="str">
        <f>'Ratings Dashboard'!A2</f>
        <v>Midday Programs</v>
      </c>
      <c r="BH2" s="21" t="s">
        <v>75</v>
      </c>
      <c r="BJ2" s="22" t="s">
        <v>41</v>
      </c>
      <c r="BK2" s="22" t="s">
        <v>60</v>
      </c>
      <c r="BM2" s="22" t="s">
        <v>41</v>
      </c>
      <c r="BN2" s="22" t="s">
        <v>60</v>
      </c>
      <c r="BP2" s="22" t="s">
        <v>41</v>
      </c>
      <c r="BQ2" s="22" t="s">
        <v>60</v>
      </c>
      <c r="BS2" s="22" t="s">
        <v>41</v>
      </c>
      <c r="BT2" s="22" t="s">
        <v>49</v>
      </c>
      <c r="BV2" s="22" t="s">
        <v>41</v>
      </c>
      <c r="BW2" s="22" t="s">
        <v>50</v>
      </c>
      <c r="BY2" s="22" t="s">
        <v>41</v>
      </c>
      <c r="BZ2" s="22" t="s">
        <v>49</v>
      </c>
      <c r="CB2" s="22" t="s">
        <v>41</v>
      </c>
      <c r="CC2" s="22" t="s">
        <v>50</v>
      </c>
      <c r="CE2" s="22" t="s">
        <v>41</v>
      </c>
      <c r="CF2" s="22" t="s">
        <v>49</v>
      </c>
      <c r="CH2" s="22" t="s">
        <v>41</v>
      </c>
      <c r="CI2" s="22" t="s">
        <v>50</v>
      </c>
      <c r="CK2" s="22" t="s">
        <v>41</v>
      </c>
      <c r="CL2" s="22" t="s">
        <v>49</v>
      </c>
      <c r="CN2" s="22" t="s">
        <v>41</v>
      </c>
      <c r="CO2" s="22" t="s">
        <v>50</v>
      </c>
      <c r="CQ2" s="22" t="s">
        <v>41</v>
      </c>
      <c r="CR2" s="22" t="s">
        <v>49</v>
      </c>
      <c r="CT2" s="22" t="s">
        <v>41</v>
      </c>
      <c r="CU2" s="22" t="s">
        <v>50</v>
      </c>
    </row>
    <row r="3" spans="1:99" ht="31.2" thickBot="1" x14ac:dyDescent="0.35">
      <c r="A3" s="53" t="s">
        <v>0</v>
      </c>
      <c r="B3" s="53" t="s">
        <v>1</v>
      </c>
      <c r="C3" s="54"/>
      <c r="D3" s="54"/>
      <c r="E3" s="54"/>
      <c r="F3" s="1" t="s">
        <v>13</v>
      </c>
      <c r="G3" s="3" t="s">
        <v>14</v>
      </c>
      <c r="H3" s="3" t="s">
        <v>15</v>
      </c>
      <c r="I3" s="3" t="s">
        <v>16</v>
      </c>
      <c r="J3" s="3" t="s">
        <v>17</v>
      </c>
      <c r="K3" s="3" t="s">
        <v>18</v>
      </c>
      <c r="L3" s="3" t="s">
        <v>14</v>
      </c>
      <c r="M3" s="3" t="s">
        <v>15</v>
      </c>
      <c r="N3" s="3" t="s">
        <v>16</v>
      </c>
      <c r="O3" s="3" t="s">
        <v>17</v>
      </c>
      <c r="P3" s="3" t="s">
        <v>18</v>
      </c>
      <c r="Q3" s="3" t="s">
        <v>14</v>
      </c>
      <c r="R3" s="3" t="s">
        <v>15</v>
      </c>
      <c r="S3" s="3" t="s">
        <v>16</v>
      </c>
      <c r="T3" s="3" t="s">
        <v>17</v>
      </c>
      <c r="U3" s="3" t="s">
        <v>18</v>
      </c>
      <c r="V3" s="3" t="s">
        <v>14</v>
      </c>
      <c r="W3" s="3" t="s">
        <v>15</v>
      </c>
      <c r="X3" s="3" t="s">
        <v>16</v>
      </c>
      <c r="Y3" s="3" t="s">
        <v>17</v>
      </c>
      <c r="Z3" s="3" t="s">
        <v>18</v>
      </c>
      <c r="AA3" s="3" t="s">
        <v>14</v>
      </c>
      <c r="AB3" s="3" t="s">
        <v>15</v>
      </c>
      <c r="AC3" s="3" t="s">
        <v>16</v>
      </c>
      <c r="AD3" s="3" t="s">
        <v>17</v>
      </c>
      <c r="AE3" s="3" t="s">
        <v>18</v>
      </c>
      <c r="AF3" s="3" t="s">
        <v>14</v>
      </c>
      <c r="AG3" s="3" t="s">
        <v>15</v>
      </c>
      <c r="AH3" s="3" t="s">
        <v>16</v>
      </c>
      <c r="AI3" s="3" t="s">
        <v>17</v>
      </c>
      <c r="AJ3" s="3" t="s">
        <v>18</v>
      </c>
      <c r="AK3" s="3" t="s">
        <v>14</v>
      </c>
      <c r="AL3" s="3" t="s">
        <v>15</v>
      </c>
      <c r="AM3" s="3" t="s">
        <v>16</v>
      </c>
      <c r="AN3" s="3" t="s">
        <v>17</v>
      </c>
      <c r="AO3" s="3" t="s">
        <v>18</v>
      </c>
      <c r="AP3" s="3" t="s">
        <v>14</v>
      </c>
      <c r="AQ3" s="3" t="s">
        <v>15</v>
      </c>
      <c r="AR3" s="3" t="s">
        <v>16</v>
      </c>
      <c r="AS3" s="3" t="s">
        <v>17</v>
      </c>
      <c r="AT3" s="3" t="s">
        <v>18</v>
      </c>
      <c r="AU3" s="3" t="s">
        <v>14</v>
      </c>
      <c r="AV3" s="3" t="s">
        <v>15</v>
      </c>
      <c r="AW3" s="3" t="s">
        <v>16</v>
      </c>
      <c r="AX3" s="3" t="s">
        <v>17</v>
      </c>
      <c r="AY3" s="3" t="s">
        <v>18</v>
      </c>
      <c r="BE3" s="37" t="s">
        <v>71</v>
      </c>
      <c r="BF3" s="38" t="str">
        <f>_xlfn.CONCAT(BG4,BG2,BH3,BG3)</f>
        <v>='Midday Programs'!U56</v>
      </c>
      <c r="BG3">
        <v>56</v>
      </c>
      <c r="BH3" s="21" t="s">
        <v>76</v>
      </c>
      <c r="BJ3" s="4" t="s">
        <v>115</v>
      </c>
      <c r="BK3" s="5">
        <v>0.94235838999999999</v>
      </c>
      <c r="BL3">
        <f>IF(BK3="","",BK3)</f>
        <v>0.94235838999999999</v>
      </c>
      <c r="BM3" s="4" t="s">
        <v>113</v>
      </c>
      <c r="BN3" s="5">
        <v>0.50493080999999995</v>
      </c>
      <c r="BO3">
        <f>IF(BN3="","",BN3)</f>
        <v>0.50493080999999995</v>
      </c>
      <c r="BP3" s="4" t="s">
        <v>114</v>
      </c>
      <c r="BQ3" s="5">
        <v>0.7820513</v>
      </c>
      <c r="BR3">
        <f>IF(BQ3="","",BQ3)</f>
        <v>0.7820513</v>
      </c>
      <c r="BS3" t="str" cm="1">
        <f t="array" ref="BS3:BT7">IFERROR(_xlfn._xlws.SORT(_xlfn.CHOOSECOLS(_xlfn._xlws.FILTER(Midd_RTG[],Midd_RTG[DEMO]=BF15,""),1,6),2,-1),"")</f>
        <v>ST1 -Program 2</v>
      </c>
      <c r="BT3" t="str">
        <v/>
      </c>
      <c r="BV3" t="str" cm="1">
        <f t="array" ref="BV3:BW7">IFERROR(_xlfn._xlws.SORT(_xlfn.CHOOSECOLS(_xlfn._xlws.FILTER(Midd_RTG[],Midd_RTG[DEMO]=BF15,""),1,7),2,-1),"")</f>
        <v>ST2 - Program 1</v>
      </c>
      <c r="BW3">
        <v>1.7758247566605578</v>
      </c>
      <c r="BY3" t="str" cm="1">
        <f t="array" ref="BY3:BZ7">IFERROR(_xlfn._xlws.SORT(_xlfn.CHOOSECOLS(_xlfn._xlws.FILTER(Midd_SHARE[],Midd_SHARE[DEMO]=BF15,""),1,6),2,-1),"")</f>
        <v>ST1 -Program 2</v>
      </c>
      <c r="BZ3">
        <v>0.5549985558724132</v>
      </c>
      <c r="CB3" t="str" cm="1">
        <f t="array" ref="CB3:CC7">IFERROR(_xlfn._xlws.SORT(_xlfn.CHOOSECOLS(_xlfn._xlws.FILTER(Midd_SHARE[],Midd_SHARE[DEMO]=BF15,""),1,7),2,-1),"")</f>
        <v>ST4 - Program 1</v>
      </c>
      <c r="CC3">
        <v>1.1262797836062386</v>
      </c>
      <c r="CE3" t="str" cm="1">
        <f t="array" ref="CE3:CF7">IFERROR(_xlfn._xlws.SORT(_xlfn.CHOOSECOLS(_xlfn._xlws.FILTER(Midd_IMP[],Midd_IMP[DEMO]=BF15,""),1,6),2,-1),"")</f>
        <v>ST1 -Program 2</v>
      </c>
      <c r="CF3">
        <v>0.70227119406341354</v>
      </c>
      <c r="CH3" t="str" cm="1">
        <f t="array" ref="CH3:CI7">IFERROR(_xlfn._xlws.SORT(_xlfn.CHOOSECOLS(_xlfn._xlws.FILTER(Midd_IMP[],Midd_IMP[DEMO]=BF15,""),1,7),2,-1),"")</f>
        <v>ST2 - Program 1</v>
      </c>
      <c r="CI3">
        <v>0.86821705426356588</v>
      </c>
      <c r="CK3" t="str" cm="1">
        <f t="array" ref="CK3:CL7">IFERROR(_xlfn._xlws.SORT(_xlfn.CHOOSECOLS(_xlfn._xlws.FILTER(Midd_HP_IMP[],Midd_HP_IMP[DEMO]=BF15,""),1,6),2,-1),"")</f>
        <v>ST4 - Program 1</v>
      </c>
      <c r="CL3">
        <v>8.9704908381779386E-2</v>
      </c>
      <c r="CN3" t="str" cm="1">
        <f t="array" ref="CN3:CO7">IFERROR(_xlfn._xlws.SORT(_xlfn.CHOOSECOLS(_xlfn._xlws.FILTER(Midd_HP_IMP[],Midd_HP_IMP[DEMO]=BF15,""),1,7),2,-1),"")</f>
        <v>ST1 -Program 1</v>
      </c>
      <c r="CO3">
        <v>2.1674676986455362E-2</v>
      </c>
      <c r="CQ3" t="str" cm="1">
        <f t="array" ref="CQ3:CR7">IFERROR(_xlfn._xlws.SORT(_xlfn.CHOOSECOLS(_xlfn._xlws.FILTER(Midd_HP_PCT[],Midd_HP_PCT[DEMO]=BF15,""),1,6),2,-1),"")</f>
        <v>ST4 - Program 1</v>
      </c>
      <c r="CR3">
        <v>0.2851132339924054</v>
      </c>
      <c r="CT3" t="str" cm="1">
        <f t="array" ref="CT3:CU7">IFERROR(_xlfn._xlws.SORT(_xlfn.CHOOSECOLS(_xlfn._xlws.FILTER(Midd_HP_PCT[],Midd_HP_PCT[DEMO]=BF15,""),1,7),2,-1),"")</f>
        <v>ST4 - Program 1</v>
      </c>
      <c r="CU3">
        <v>-0.13024970385281454</v>
      </c>
    </row>
    <row r="4" spans="1:99" ht="21" thickBot="1" x14ac:dyDescent="0.35">
      <c r="A4" s="4" t="s">
        <v>89</v>
      </c>
      <c r="B4" s="4" t="s">
        <v>93</v>
      </c>
      <c r="C4" s="4" t="s">
        <v>113</v>
      </c>
      <c r="D4" s="4" t="s">
        <v>21</v>
      </c>
      <c r="E4" s="4" t="s">
        <v>22</v>
      </c>
      <c r="F4" s="4"/>
      <c r="G4" s="5">
        <v>0.57081146000000005</v>
      </c>
      <c r="H4" s="6">
        <v>7.3548413899999998</v>
      </c>
      <c r="I4" s="6">
        <v>5845</v>
      </c>
      <c r="J4" s="6">
        <v>5920</v>
      </c>
      <c r="K4" s="5">
        <v>6.7013815000000001</v>
      </c>
      <c r="L4" s="5">
        <v>0.75744663999999995</v>
      </c>
      <c r="M4" s="6">
        <v>6.1082646499999997</v>
      </c>
      <c r="N4" s="6">
        <v>7569</v>
      </c>
      <c r="O4" s="6">
        <v>6408.4</v>
      </c>
      <c r="P4" s="5">
        <v>8.5160368000000002</v>
      </c>
      <c r="Q4" s="5">
        <v>0.96587818000000003</v>
      </c>
      <c r="R4" s="6">
        <v>7.7024921300000004</v>
      </c>
      <c r="S4" s="6">
        <v>6931</v>
      </c>
      <c r="T4" s="6">
        <v>5788.7</v>
      </c>
      <c r="U4" s="5">
        <v>7.1121167300000003</v>
      </c>
      <c r="V4" s="5">
        <v>0.74136380000000002</v>
      </c>
      <c r="W4" s="6">
        <v>10.54852262</v>
      </c>
      <c r="X4" s="6">
        <v>6780</v>
      </c>
      <c r="Y4" s="6">
        <v>6427.1</v>
      </c>
      <c r="Z4" s="5">
        <v>5.1321290900000003</v>
      </c>
      <c r="AA4" s="5">
        <v>0.70454112000000002</v>
      </c>
      <c r="AB4" s="6">
        <v>7.98717875</v>
      </c>
      <c r="AC4" s="6">
        <v>8061</v>
      </c>
      <c r="AD4" s="6">
        <v>7336.3</v>
      </c>
      <c r="AE4" s="5">
        <v>6.4123933900000001</v>
      </c>
      <c r="AF4" s="5">
        <v>0.84621851000000003</v>
      </c>
      <c r="AG4" s="6">
        <v>10.85236171</v>
      </c>
      <c r="AH4" s="6">
        <v>3869</v>
      </c>
      <c r="AI4" s="6">
        <v>3788.5</v>
      </c>
      <c r="AJ4" s="5">
        <v>6.5841479100000004</v>
      </c>
      <c r="AK4" s="5">
        <v>0.50493080999999995</v>
      </c>
      <c r="AL4" s="6">
        <v>8.8351326100000005</v>
      </c>
      <c r="AM4" s="6">
        <v>6323</v>
      </c>
      <c r="AN4" s="6">
        <v>7157.1</v>
      </c>
      <c r="AO4" s="5">
        <v>5.71503374</v>
      </c>
      <c r="AP4" s="5">
        <v>0.61800136999999999</v>
      </c>
      <c r="AQ4" s="6">
        <v>9.0100543099999992</v>
      </c>
      <c r="AR4" s="6">
        <v>7070</v>
      </c>
      <c r="AS4" s="6">
        <v>6547.3</v>
      </c>
      <c r="AT4" s="5">
        <v>6.8590193700000004</v>
      </c>
      <c r="AU4" s="5">
        <v>0.71205130000000005</v>
      </c>
      <c r="AV4" s="6">
        <v>8.7845693399999991</v>
      </c>
      <c r="AW4" s="6">
        <v>4097</v>
      </c>
      <c r="AX4" s="6">
        <v>4187.3999999999996</v>
      </c>
      <c r="AY4" s="5">
        <v>6.2772881199999997</v>
      </c>
      <c r="BE4" s="37" t="s">
        <v>72</v>
      </c>
      <c r="BF4" s="38" t="str">
        <f>_xlfn.CONCAT(BG4,BG2,BH4,BG3)</f>
        <v>='Midday Programs'!AC56</v>
      </c>
      <c r="BG4" s="21" t="s">
        <v>79</v>
      </c>
      <c r="BH4" s="21" t="s">
        <v>77</v>
      </c>
      <c r="BJ4" s="4" t="s">
        <v>113</v>
      </c>
      <c r="BK4" s="5">
        <v>0.61800136999999999</v>
      </c>
      <c r="BL4">
        <f>IF(BK4="","",BK4)</f>
        <v>0.61800136999999999</v>
      </c>
      <c r="BM4" s="4" t="s">
        <v>111</v>
      </c>
      <c r="BN4" s="5">
        <v>0.48839795000000003</v>
      </c>
      <c r="BO4">
        <f t="shared" ref="BO4:BO24" si="0">IF(BN4="","",BN4)</f>
        <v>0.48839795000000003</v>
      </c>
      <c r="BP4" s="4" t="s">
        <v>113</v>
      </c>
      <c r="BQ4" s="5">
        <v>0.71205130000000005</v>
      </c>
      <c r="BR4">
        <f t="shared" ref="BR4:BR24" si="1">IF(BQ4="","",BQ4)</f>
        <v>0.71205130000000005</v>
      </c>
      <c r="BS4" t="str">
        <v>ST2 - Program 1</v>
      </c>
      <c r="BT4">
        <v>2.1276478521911382</v>
      </c>
      <c r="BV4" t="str">
        <v>ST1 -Program 2</v>
      </c>
      <c r="BW4">
        <v>0.29630302329077995</v>
      </c>
      <c r="BY4" t="str">
        <v>ST3 - Program 1</v>
      </c>
      <c r="BZ4">
        <v>0.42931842352795818</v>
      </c>
      <c r="CB4" t="str">
        <v>ST3 - Program 1</v>
      </c>
      <c r="CC4">
        <v>0.67626294555296163</v>
      </c>
      <c r="CE4" t="str">
        <v>ST3 - Program 1</v>
      </c>
      <c r="CF4">
        <v>0.51963048498845266</v>
      </c>
      <c r="CH4" t="str">
        <v>ST4 - Program 1</v>
      </c>
      <c r="CI4">
        <v>0.84172003659652328</v>
      </c>
      <c r="CK4" t="str">
        <v>ST3 - Program 1</v>
      </c>
      <c r="CL4">
        <v>6.311316797250309E-2</v>
      </c>
      <c r="CN4" t="str">
        <v>ST2 - Program 1</v>
      </c>
      <c r="CO4">
        <v>-7.5717243419106753E-2</v>
      </c>
      <c r="CQ4" t="str">
        <v>ST1 -Program 2</v>
      </c>
      <c r="CR4">
        <v>0.26728027247110364</v>
      </c>
      <c r="CT4" t="str">
        <v>ST1 -Program 2</v>
      </c>
      <c r="CU4">
        <v>-0.13423153892090506</v>
      </c>
    </row>
    <row r="5" spans="1:99" ht="21" thickBot="1" x14ac:dyDescent="0.35">
      <c r="A5" s="4" t="s">
        <v>89</v>
      </c>
      <c r="B5" s="4" t="s">
        <v>93</v>
      </c>
      <c r="C5" s="4" t="s">
        <v>114</v>
      </c>
      <c r="D5" s="4" t="s">
        <v>23</v>
      </c>
      <c r="E5" s="4" t="s">
        <v>24</v>
      </c>
      <c r="F5" s="4"/>
      <c r="G5" s="5">
        <v>9.5535610000000007E-2</v>
      </c>
      <c r="H5" s="6">
        <v>2.7045372599999999</v>
      </c>
      <c r="I5" s="6">
        <v>2182</v>
      </c>
      <c r="J5" s="6">
        <v>6034.4</v>
      </c>
      <c r="K5" s="5">
        <v>5.6047827100000003</v>
      </c>
      <c r="L5" s="5">
        <v>0.47674144000000002</v>
      </c>
      <c r="M5" s="6">
        <v>6.0175905099999998</v>
      </c>
      <c r="N5" s="6">
        <v>5394</v>
      </c>
      <c r="O5" s="6">
        <v>8963.2000000000007</v>
      </c>
      <c r="P5" s="5">
        <v>7.9224638900000004</v>
      </c>
      <c r="Q5" s="5">
        <v>0.71727074999999996</v>
      </c>
      <c r="R5" s="6">
        <v>8.5832370099999995</v>
      </c>
      <c r="S5" s="6">
        <v>4084</v>
      </c>
      <c r="T5" s="6">
        <v>4758.5</v>
      </c>
      <c r="U5" s="5">
        <v>8.5566462399999992</v>
      </c>
      <c r="V5" s="5">
        <v>0.64136380000000004</v>
      </c>
      <c r="W5" s="6">
        <v>4.2719157299999999</v>
      </c>
      <c r="X5" s="6">
        <v>2973</v>
      </c>
      <c r="Y5" s="6">
        <v>6475.2</v>
      </c>
      <c r="Z5" s="5">
        <v>5.17051602</v>
      </c>
      <c r="AA5" s="4" t="s">
        <v>20</v>
      </c>
      <c r="AB5" s="6">
        <v>5.98717875</v>
      </c>
      <c r="AC5" s="6">
        <v>4447</v>
      </c>
      <c r="AD5" s="6">
        <v>7936.3</v>
      </c>
      <c r="AE5" s="5">
        <v>5.4123933900000001</v>
      </c>
      <c r="AF5" s="5">
        <v>0.34621850999999998</v>
      </c>
      <c r="AG5" s="6">
        <v>12.85236171</v>
      </c>
      <c r="AH5" s="6">
        <v>4469</v>
      </c>
      <c r="AI5" s="6">
        <v>3449.2</v>
      </c>
      <c r="AJ5" s="5">
        <v>6.9841479099999999</v>
      </c>
      <c r="AK5" s="5">
        <v>0.30493081</v>
      </c>
      <c r="AL5" s="6">
        <v>6.8351326099999996</v>
      </c>
      <c r="AM5" s="6">
        <v>6323</v>
      </c>
      <c r="AN5" s="6">
        <v>7157.1</v>
      </c>
      <c r="AO5" s="5">
        <v>5.71503374</v>
      </c>
      <c r="AP5" s="5">
        <v>0.61800136999999999</v>
      </c>
      <c r="AQ5" s="6">
        <v>9.3100543099999999</v>
      </c>
      <c r="AR5" s="6">
        <v>7570</v>
      </c>
      <c r="AS5" s="6">
        <v>7847.3</v>
      </c>
      <c r="AT5" s="5">
        <v>6.8590193700000004</v>
      </c>
      <c r="AU5" s="5">
        <v>0.7820513</v>
      </c>
      <c r="AV5" s="6">
        <v>9.7845693399999991</v>
      </c>
      <c r="AW5" s="6">
        <v>5097</v>
      </c>
      <c r="AX5" s="6">
        <v>3187.4</v>
      </c>
      <c r="AY5" s="5">
        <v>7.2772881199999997</v>
      </c>
      <c r="BE5" s="37" t="s">
        <v>73</v>
      </c>
      <c r="BF5" s="38" t="str">
        <f>_xlfn.CONCAT(BG4,BG2,BH5,BG3)</f>
        <v>='Midday Programs'!AK56</v>
      </c>
      <c r="BG5" s="21"/>
      <c r="BH5" s="21" t="s">
        <v>78</v>
      </c>
      <c r="BJ5" s="4" t="s">
        <v>114</v>
      </c>
      <c r="BK5" s="5">
        <v>0.61800136999999999</v>
      </c>
      <c r="BL5">
        <f t="shared" ref="BL5:BL22" si="2">IF(BK5="","",BK5)</f>
        <v>0.61800136999999999</v>
      </c>
      <c r="BM5" s="4" t="s">
        <v>114</v>
      </c>
      <c r="BN5" s="5">
        <v>0.30493081</v>
      </c>
      <c r="BO5">
        <f t="shared" si="0"/>
        <v>0.30493081</v>
      </c>
      <c r="BP5" s="4" t="s">
        <v>115</v>
      </c>
      <c r="BQ5" s="5">
        <v>0.39339384999999999</v>
      </c>
      <c r="BR5">
        <f t="shared" si="1"/>
        <v>0.39339384999999999</v>
      </c>
      <c r="BS5" t="str">
        <v>ST3 - Program 1</v>
      </c>
      <c r="BT5">
        <v>0.51951552081644314</v>
      </c>
      <c r="BV5" t="str">
        <v>ST4 - Program 1</v>
      </c>
      <c r="BW5">
        <v>7.7622905540002174E-2</v>
      </c>
      <c r="BY5" t="str">
        <v>ST2 - Program 1</v>
      </c>
      <c r="BZ5">
        <v>0.37673494917926054</v>
      </c>
      <c r="CB5" t="str">
        <v>ST2 - Program 1</v>
      </c>
      <c r="CC5">
        <v>0.66028345968851121</v>
      </c>
      <c r="CE5" t="str">
        <v>ST2 - Program 1</v>
      </c>
      <c r="CF5">
        <v>0.46823324630113144</v>
      </c>
      <c r="CH5" t="str">
        <v>ST1 -Program 2</v>
      </c>
      <c r="CI5">
        <v>0.40341119762699296</v>
      </c>
      <c r="CK5" t="str">
        <v>ST1 -Program 2</v>
      </c>
      <c r="CL5">
        <v>-1.121429381449794E-2</v>
      </c>
      <c r="CN5" t="str">
        <v>ST1 -Program 2</v>
      </c>
      <c r="CO5">
        <v>-0.124497947161728</v>
      </c>
      <c r="CQ5" t="str">
        <v>ST2 - Program 1</v>
      </c>
      <c r="CR5">
        <v>0.10051362821564913</v>
      </c>
      <c r="CT5" t="str">
        <v>ST3 - Program 1</v>
      </c>
      <c r="CU5">
        <v>-0.16824621434634371</v>
      </c>
    </row>
    <row r="6" spans="1:99" ht="20.399999999999999" x14ac:dyDescent="0.3">
      <c r="A6" s="4" t="s">
        <v>90</v>
      </c>
      <c r="B6" s="4" t="s">
        <v>94</v>
      </c>
      <c r="C6" s="4" t="s">
        <v>115</v>
      </c>
      <c r="D6" s="4" t="s">
        <v>21</v>
      </c>
      <c r="E6" s="4" t="s">
        <v>25</v>
      </c>
      <c r="F6" s="4"/>
      <c r="G6" s="5">
        <v>0.40148105000000001</v>
      </c>
      <c r="H6" s="6">
        <v>3.0832557299999999</v>
      </c>
      <c r="I6" s="6">
        <v>2593</v>
      </c>
      <c r="J6" s="6">
        <v>4084.9</v>
      </c>
      <c r="K6" s="5">
        <v>6.93468515</v>
      </c>
      <c r="L6" s="5">
        <v>0.33948771</v>
      </c>
      <c r="M6" s="6">
        <v>3.8707528600000001</v>
      </c>
      <c r="N6" s="6">
        <v>2709</v>
      </c>
      <c r="O6" s="6">
        <v>7438.2</v>
      </c>
      <c r="P6" s="5">
        <v>8.3423312599999999</v>
      </c>
      <c r="Q6" s="5">
        <v>0.41686136000000001</v>
      </c>
      <c r="R6" s="6">
        <v>4.5154797200000001</v>
      </c>
      <c r="S6" s="6">
        <v>1704</v>
      </c>
      <c r="T6" s="6">
        <v>5732.4</v>
      </c>
      <c r="U6" s="5">
        <v>9.0133177199999999</v>
      </c>
      <c r="V6" s="5">
        <v>0.22139713999999999</v>
      </c>
      <c r="W6" s="6">
        <v>4.2819157299999997</v>
      </c>
      <c r="X6" s="6">
        <v>2773</v>
      </c>
      <c r="Y6" s="6">
        <v>3475.2</v>
      </c>
      <c r="Z6" s="5">
        <v>5.67051602</v>
      </c>
      <c r="AA6" s="5">
        <v>0.30129939</v>
      </c>
      <c r="AB6" s="6">
        <v>4.6679623799999996</v>
      </c>
      <c r="AC6" s="6">
        <v>3447</v>
      </c>
      <c r="AD6" s="6">
        <v>7284.6</v>
      </c>
      <c r="AE6" s="5">
        <v>6.2546232899999996</v>
      </c>
      <c r="AF6" s="5">
        <v>0.25410451000000001</v>
      </c>
      <c r="AG6" s="6">
        <v>3.89982936</v>
      </c>
      <c r="AH6" s="6">
        <v>1462</v>
      </c>
      <c r="AI6" s="6">
        <v>2749.2</v>
      </c>
      <c r="AJ6" s="5">
        <v>6.51578546</v>
      </c>
      <c r="AK6" s="5">
        <v>0.30405300000000002</v>
      </c>
      <c r="AL6" s="6">
        <v>5.2566730899999996</v>
      </c>
      <c r="AM6" s="6">
        <v>3808</v>
      </c>
      <c r="AN6" s="6">
        <v>7243.6</v>
      </c>
      <c r="AO6" s="5">
        <v>5.7841337499999996</v>
      </c>
      <c r="AP6" s="5">
        <v>0.94235838999999999</v>
      </c>
      <c r="AQ6" s="6">
        <v>6.4265469499999996</v>
      </c>
      <c r="AR6" s="6">
        <v>5061</v>
      </c>
      <c r="AS6" s="6">
        <v>6875</v>
      </c>
      <c r="AT6" s="5">
        <v>6.8832981699999998</v>
      </c>
      <c r="AU6" s="5">
        <v>0.39339384999999999</v>
      </c>
      <c r="AV6" s="6">
        <v>5.2751811200000001</v>
      </c>
      <c r="AW6" s="6">
        <v>2264</v>
      </c>
      <c r="AX6" s="6">
        <v>4291</v>
      </c>
      <c r="AY6" s="5">
        <v>7.4574472199999997</v>
      </c>
      <c r="BJ6" s="4" t="s">
        <v>111</v>
      </c>
      <c r="BK6" s="5">
        <v>0.52787552000000004</v>
      </c>
      <c r="BL6">
        <f t="shared" si="2"/>
        <v>0.52787552000000004</v>
      </c>
      <c r="BM6" s="4" t="s">
        <v>115</v>
      </c>
      <c r="BN6" s="5">
        <v>0.30405300000000002</v>
      </c>
      <c r="BO6">
        <f t="shared" si="0"/>
        <v>0.30405300000000002</v>
      </c>
      <c r="BP6" s="4" t="s">
        <v>116</v>
      </c>
      <c r="BQ6" s="5">
        <v>0.26592789999999999</v>
      </c>
      <c r="BR6">
        <f t="shared" si="1"/>
        <v>0.26592789999999999</v>
      </c>
      <c r="BS6" t="str">
        <v>ST4 - Program 1</v>
      </c>
      <c r="BT6">
        <v>0.20630841492041677</v>
      </c>
      <c r="BV6" t="str">
        <v>ST1 -Program 1</v>
      </c>
      <c r="BW6">
        <v>-0.18409913337261613</v>
      </c>
      <c r="BY6" t="str">
        <v>ST4 - Program 1</v>
      </c>
      <c r="BZ6">
        <v>0.13958441273514682</v>
      </c>
      <c r="CB6" t="str">
        <v>ST1 -Program 2</v>
      </c>
      <c r="CC6">
        <v>0.54713988838698835</v>
      </c>
      <c r="CE6" t="str">
        <v>ST4 - Program 1</v>
      </c>
      <c r="CF6">
        <v>0.2063523771474231</v>
      </c>
      <c r="CH6" t="str">
        <v>ST3 - Program 1</v>
      </c>
      <c r="CI6">
        <v>0.3925925925925926</v>
      </c>
      <c r="CK6" t="str">
        <v>ST2 - Program 1</v>
      </c>
      <c r="CL6">
        <v>-5.6228207451335742E-2</v>
      </c>
      <c r="CN6" t="str">
        <v>ST4 - Program 1</v>
      </c>
      <c r="CO6">
        <v>-0.13385274092791472</v>
      </c>
      <c r="CQ6" t="str">
        <v>ST1 -Program 1</v>
      </c>
      <c r="CR6">
        <v>6.9650433595746741E-2</v>
      </c>
      <c r="CT6" t="str">
        <v>ST2 - Program 1</v>
      </c>
      <c r="CU6">
        <v>-0.17489512757612555</v>
      </c>
    </row>
    <row r="7" spans="1:99" ht="21" thickBot="1" x14ac:dyDescent="0.35">
      <c r="A7" s="4" t="s">
        <v>91</v>
      </c>
      <c r="B7" s="4" t="s">
        <v>95</v>
      </c>
      <c r="C7" s="4" t="s">
        <v>116</v>
      </c>
      <c r="D7" s="4" t="s">
        <v>21</v>
      </c>
      <c r="E7" s="4" t="s">
        <v>22</v>
      </c>
      <c r="F7" s="4"/>
      <c r="G7" s="5">
        <v>0.32913764000000001</v>
      </c>
      <c r="H7" s="6">
        <v>1.98272318</v>
      </c>
      <c r="I7" s="6">
        <v>2598</v>
      </c>
      <c r="J7" s="6">
        <v>4017.9</v>
      </c>
      <c r="K7" s="5">
        <v>6.4804606900000001</v>
      </c>
      <c r="L7" s="5">
        <v>0.56701124000000003</v>
      </c>
      <c r="M7" s="6">
        <v>1.9987191799999999</v>
      </c>
      <c r="N7" s="6">
        <v>1890</v>
      </c>
      <c r="O7" s="6">
        <v>9653.6</v>
      </c>
      <c r="P7" s="5">
        <v>8.2559130700000001</v>
      </c>
      <c r="Q7" s="5">
        <v>0.17086865000000001</v>
      </c>
      <c r="R7" s="6">
        <v>2.85607436</v>
      </c>
      <c r="S7" s="6">
        <v>973</v>
      </c>
      <c r="T7" s="6">
        <v>4242.1000000000004</v>
      </c>
      <c r="U7" s="5">
        <v>9.8059161600000007</v>
      </c>
      <c r="V7" s="5">
        <v>0.10202774000000001</v>
      </c>
      <c r="W7" s="6">
        <v>1.9707520199999999</v>
      </c>
      <c r="X7" s="6">
        <v>1278</v>
      </c>
      <c r="Y7" s="6">
        <v>6483.4</v>
      </c>
      <c r="Z7" s="5">
        <v>4.1770967499999996</v>
      </c>
      <c r="AA7" s="5">
        <v>0.15140795000000001</v>
      </c>
      <c r="AB7" s="6">
        <v>2.3440395399999998</v>
      </c>
      <c r="AC7" s="6">
        <v>1732</v>
      </c>
      <c r="AD7" s="6">
        <v>7389.9</v>
      </c>
      <c r="AE7" s="5">
        <v>6.4592744099999999</v>
      </c>
      <c r="AF7" s="5">
        <v>0.15822606</v>
      </c>
      <c r="AG7" s="6">
        <v>2.3839425699999999</v>
      </c>
      <c r="AH7" s="6">
        <v>1910</v>
      </c>
      <c r="AI7" s="6">
        <v>3819</v>
      </c>
      <c r="AJ7" s="5">
        <v>5.6371590899999999</v>
      </c>
      <c r="AK7" s="5">
        <v>0.14217258999999999</v>
      </c>
      <c r="AL7" s="6">
        <v>2.4801975000000001</v>
      </c>
      <c r="AM7" s="6">
        <v>1780</v>
      </c>
      <c r="AN7" s="6">
        <v>6178.7</v>
      </c>
      <c r="AO7" s="5">
        <v>5.7323092500000001</v>
      </c>
      <c r="AP7" s="5">
        <v>0.23006673</v>
      </c>
      <c r="AQ7" s="6">
        <v>3.3503788999999999</v>
      </c>
      <c r="AR7" s="6">
        <v>2632</v>
      </c>
      <c r="AS7" s="6">
        <v>7856.3</v>
      </c>
      <c r="AT7" s="5">
        <v>6.8668869499999996</v>
      </c>
      <c r="AU7" s="5">
        <v>0.26592789999999999</v>
      </c>
      <c r="AV7" s="6">
        <v>3.6182799299999999</v>
      </c>
      <c r="AW7" s="6">
        <v>1530</v>
      </c>
      <c r="AX7" s="6">
        <v>4229</v>
      </c>
      <c r="AY7" s="5">
        <v>7.34956692</v>
      </c>
      <c r="BE7" s="27" t="s">
        <v>86</v>
      </c>
      <c r="BF7" s="51" t="s">
        <v>68</v>
      </c>
      <c r="BG7" s="51"/>
      <c r="BJ7" s="4" t="s">
        <v>116</v>
      </c>
      <c r="BK7" s="5">
        <v>0.23006673</v>
      </c>
      <c r="BL7">
        <f t="shared" si="2"/>
        <v>0.23006673</v>
      </c>
      <c r="BM7" s="4" t="s">
        <v>116</v>
      </c>
      <c r="BN7" s="5">
        <v>0.14217258999999999</v>
      </c>
      <c r="BO7">
        <f t="shared" si="0"/>
        <v>0.14217258999999999</v>
      </c>
      <c r="BP7" s="4" t="s">
        <v>111</v>
      </c>
      <c r="BQ7" s="5">
        <v>0.23202244</v>
      </c>
      <c r="BR7">
        <f t="shared" si="1"/>
        <v>0.23202244</v>
      </c>
      <c r="BS7" t="str">
        <v>ST1 -Program 1</v>
      </c>
      <c r="BT7">
        <v>-0.12283136859350384</v>
      </c>
      <c r="BV7" t="str">
        <v>ST3 - Program 1</v>
      </c>
      <c r="BW7">
        <v>-0.59424661493482922</v>
      </c>
      <c r="BY7" t="str">
        <v>ST1 -Program 1</v>
      </c>
      <c r="BZ7">
        <v>0.12806468867370713</v>
      </c>
      <c r="CB7" t="str">
        <v>ST1 -Program 1</v>
      </c>
      <c r="CC7">
        <v>0.4750595834121234</v>
      </c>
      <c r="CE7" t="str">
        <v>ST1 -Program 1</v>
      </c>
      <c r="CF7">
        <v>-0.12293760079394617</v>
      </c>
      <c r="CH7" t="str">
        <v>ST1 -Program 1</v>
      </c>
      <c r="CI7">
        <v>-6.5926806711586738E-2</v>
      </c>
      <c r="CK7" t="str">
        <v>ST1 -Program 1</v>
      </c>
      <c r="CL7">
        <v>-0.10754740127857366</v>
      </c>
      <c r="CN7" t="str">
        <v>ST3 - Program 1</v>
      </c>
      <c r="CO7">
        <v>-0.18617924919201129</v>
      </c>
      <c r="CQ7" t="str">
        <v>ST3 - Program 1</v>
      </c>
      <c r="CR7">
        <v>6.3105004390113795E-2</v>
      </c>
      <c r="CT7" t="str">
        <v>ST1 -Program 1</v>
      </c>
      <c r="CU7">
        <v>-0.19457612371989746</v>
      </c>
    </row>
    <row r="8" spans="1:99" ht="20.399999999999999" x14ac:dyDescent="0.3">
      <c r="A8" s="4" t="s">
        <v>92</v>
      </c>
      <c r="B8" s="4" t="s">
        <v>96</v>
      </c>
      <c r="C8" s="4" t="s">
        <v>111</v>
      </c>
      <c r="D8" s="4" t="s">
        <v>23</v>
      </c>
      <c r="E8" s="4" t="s">
        <v>21</v>
      </c>
      <c r="F8" s="4"/>
      <c r="G8" s="5">
        <v>0.25511550999999999</v>
      </c>
      <c r="H8" s="6">
        <v>4.6838108099999998</v>
      </c>
      <c r="I8" s="6">
        <v>3056</v>
      </c>
      <c r="J8" s="6">
        <v>7328.2</v>
      </c>
      <c r="K8" s="5">
        <v>5.9553402599999998</v>
      </c>
      <c r="L8" s="5">
        <v>0.4898518</v>
      </c>
      <c r="M8" s="6">
        <v>3.83619932</v>
      </c>
      <c r="N8" s="6">
        <v>3279</v>
      </c>
      <c r="O8" s="6">
        <v>8548.2000000000007</v>
      </c>
      <c r="P8" s="5">
        <v>7.5557024000000004</v>
      </c>
      <c r="Q8" s="5">
        <v>0.36015483999999998</v>
      </c>
      <c r="R8" s="6">
        <v>3.1210354699999998</v>
      </c>
      <c r="S8" s="6">
        <v>1481</v>
      </c>
      <c r="T8" s="6">
        <v>4646.5</v>
      </c>
      <c r="U8" s="5">
        <v>8.3355297099999994</v>
      </c>
      <c r="V8" s="5">
        <v>0.39647964000000002</v>
      </c>
      <c r="W8" s="6">
        <v>8.2414718699999998</v>
      </c>
      <c r="X8" s="6">
        <v>4965</v>
      </c>
      <c r="Y8" s="6">
        <v>6024.7</v>
      </c>
      <c r="Z8" s="5">
        <v>4.8107868399999996</v>
      </c>
      <c r="AA8" s="5">
        <v>0.43759582000000002</v>
      </c>
      <c r="AB8" s="6">
        <v>7.1577260699999998</v>
      </c>
      <c r="AC8" s="6">
        <v>5006</v>
      </c>
      <c r="AD8" s="6">
        <v>6794.5</v>
      </c>
      <c r="AE8" s="5">
        <v>5.1136150699999998</v>
      </c>
      <c r="AF8" s="5">
        <v>0.28445063999999998</v>
      </c>
      <c r="AG8" s="6">
        <v>4.4628593800000003</v>
      </c>
      <c r="AH8" s="6">
        <v>1637</v>
      </c>
      <c r="AI8" s="6">
        <v>3667.5</v>
      </c>
      <c r="AJ8" s="5">
        <v>6.3737306699999996</v>
      </c>
      <c r="AK8" s="5">
        <v>0.48839795000000003</v>
      </c>
      <c r="AL8" s="6">
        <v>7.9189555</v>
      </c>
      <c r="AM8" s="6">
        <v>6116</v>
      </c>
      <c r="AN8" s="6">
        <v>6857.7</v>
      </c>
      <c r="AO8" s="5">
        <v>5.4759545899999997</v>
      </c>
      <c r="AP8" s="5">
        <v>0.52787552000000004</v>
      </c>
      <c r="AQ8" s="6">
        <v>8.1568330600000003</v>
      </c>
      <c r="AR8" s="6">
        <v>6039</v>
      </c>
      <c r="AS8" s="6">
        <v>7404</v>
      </c>
      <c r="AT8" s="5">
        <v>6.5715744000000003</v>
      </c>
      <c r="AU8" s="5">
        <v>0.23202244</v>
      </c>
      <c r="AV8" s="6">
        <v>3.34226337</v>
      </c>
      <c r="AW8" s="6">
        <v>1335</v>
      </c>
      <c r="AX8" s="6">
        <v>3894.5</v>
      </c>
      <c r="AY8" s="5">
        <v>6.9420754200000001</v>
      </c>
      <c r="BE8">
        <v>13</v>
      </c>
      <c r="BG8" s="23" t="s">
        <v>45</v>
      </c>
      <c r="BJ8" s="4"/>
      <c r="BK8" s="5"/>
      <c r="BL8" t="str">
        <f t="shared" si="2"/>
        <v/>
      </c>
      <c r="BM8" s="4"/>
      <c r="BN8" s="5"/>
      <c r="BO8" t="str">
        <f t="shared" si="0"/>
        <v/>
      </c>
      <c r="BP8" s="4"/>
      <c r="BQ8" s="5"/>
      <c r="BR8" t="str">
        <f t="shared" si="1"/>
        <v/>
      </c>
    </row>
    <row r="9" spans="1:99" ht="15" thickBot="1" x14ac:dyDescent="0.35">
      <c r="BE9" t="s">
        <v>87</v>
      </c>
      <c r="BG9" s="24" t="s">
        <v>11</v>
      </c>
      <c r="BJ9" s="4"/>
      <c r="BK9" s="5"/>
      <c r="BL9" t="str">
        <f t="shared" si="2"/>
        <v/>
      </c>
      <c r="BM9" s="4"/>
      <c r="BN9" s="5"/>
      <c r="BO9" t="str">
        <f t="shared" si="0"/>
        <v/>
      </c>
      <c r="BP9" s="4"/>
      <c r="BQ9" s="5"/>
      <c r="BR9" t="str">
        <f t="shared" si="1"/>
        <v/>
      </c>
    </row>
    <row r="10" spans="1:99" ht="15" thickBot="1" x14ac:dyDescent="0.35">
      <c r="BE10">
        <v>28</v>
      </c>
      <c r="BJ10" s="4"/>
      <c r="BK10" s="5"/>
      <c r="BL10" t="str">
        <f t="shared" si="2"/>
        <v/>
      </c>
      <c r="BM10" s="4"/>
      <c r="BN10" s="5"/>
      <c r="BO10" t="str">
        <f t="shared" si="0"/>
        <v/>
      </c>
      <c r="BP10" s="4"/>
      <c r="BQ10" s="5"/>
      <c r="BR10" t="str">
        <f t="shared" si="1"/>
        <v/>
      </c>
    </row>
    <row r="11" spans="1:99" x14ac:dyDescent="0.3">
      <c r="A11" t="s">
        <v>51</v>
      </c>
      <c r="I11" t="s">
        <v>55</v>
      </c>
      <c r="Q11" t="s">
        <v>56</v>
      </c>
      <c r="Y11" t="s">
        <v>43</v>
      </c>
      <c r="AG11" t="s">
        <v>44</v>
      </c>
      <c r="BF11" s="23" t="s">
        <v>45</v>
      </c>
      <c r="BG11" s="23" t="s">
        <v>45</v>
      </c>
      <c r="BJ11" s="4"/>
      <c r="BK11" s="5"/>
      <c r="BL11" t="str">
        <f t="shared" si="2"/>
        <v/>
      </c>
      <c r="BM11" s="4"/>
      <c r="BN11" s="5"/>
      <c r="BO11" t="str">
        <f t="shared" si="0"/>
        <v/>
      </c>
      <c r="BP11" s="4"/>
      <c r="BQ11" s="5"/>
      <c r="BR11" t="str">
        <f t="shared" si="1"/>
        <v/>
      </c>
    </row>
    <row r="12" spans="1:99" ht="15" thickBot="1" x14ac:dyDescent="0.35">
      <c r="BF12" s="24" t="s">
        <v>10</v>
      </c>
      <c r="BG12" s="24" t="s">
        <v>12</v>
      </c>
      <c r="BJ12" s="4"/>
      <c r="BK12" s="5"/>
      <c r="BL12" t="str">
        <f t="shared" si="2"/>
        <v/>
      </c>
      <c r="BM12" s="4"/>
      <c r="BN12" s="5"/>
      <c r="BO12" t="str">
        <f t="shared" si="0"/>
        <v/>
      </c>
      <c r="BP12" s="4"/>
      <c r="BQ12" s="5"/>
      <c r="BR12" t="str">
        <f t="shared" si="1"/>
        <v/>
      </c>
    </row>
    <row r="13" spans="1:99" ht="15" thickBot="1" x14ac:dyDescent="0.35">
      <c r="A13" t="s">
        <v>41</v>
      </c>
      <c r="B13" t="s">
        <v>45</v>
      </c>
      <c r="C13" t="s">
        <v>61</v>
      </c>
      <c r="D13" t="s">
        <v>62</v>
      </c>
      <c r="E13" t="s">
        <v>60</v>
      </c>
      <c r="F13" t="s">
        <v>63</v>
      </c>
      <c r="G13" t="s">
        <v>64</v>
      </c>
      <c r="I13" t="s">
        <v>41</v>
      </c>
      <c r="J13" t="s">
        <v>45</v>
      </c>
      <c r="K13" t="s">
        <v>61</v>
      </c>
      <c r="L13" t="s">
        <v>62</v>
      </c>
      <c r="M13" t="s">
        <v>60</v>
      </c>
      <c r="N13" t="s">
        <v>63</v>
      </c>
      <c r="O13" t="s">
        <v>64</v>
      </c>
      <c r="Q13" t="s">
        <v>41</v>
      </c>
      <c r="R13" t="s">
        <v>45</v>
      </c>
      <c r="S13" t="s">
        <v>61</v>
      </c>
      <c r="T13" t="s">
        <v>62</v>
      </c>
      <c r="U13" t="s">
        <v>60</v>
      </c>
      <c r="V13" t="s">
        <v>63</v>
      </c>
      <c r="W13" t="s">
        <v>64</v>
      </c>
      <c r="Y13" t="s">
        <v>41</v>
      </c>
      <c r="Z13" t="s">
        <v>45</v>
      </c>
      <c r="AA13" t="s">
        <v>61</v>
      </c>
      <c r="AB13" t="s">
        <v>62</v>
      </c>
      <c r="AC13" t="s">
        <v>60</v>
      </c>
      <c r="AD13" t="s">
        <v>63</v>
      </c>
      <c r="AE13" t="s">
        <v>64</v>
      </c>
      <c r="AG13" t="s">
        <v>41</v>
      </c>
      <c r="AH13" t="s">
        <v>45</v>
      </c>
      <c r="AI13" t="s">
        <v>61</v>
      </c>
      <c r="AJ13" t="s">
        <v>62</v>
      </c>
      <c r="AK13" t="s">
        <v>60</v>
      </c>
      <c r="AL13" t="s">
        <v>63</v>
      </c>
      <c r="AM13" t="s">
        <v>64</v>
      </c>
      <c r="BJ13" s="4"/>
      <c r="BK13" s="5"/>
      <c r="BL13" t="str">
        <f t="shared" si="2"/>
        <v/>
      </c>
      <c r="BM13" s="4"/>
      <c r="BN13" s="5"/>
      <c r="BO13" t="str">
        <f t="shared" si="0"/>
        <v/>
      </c>
      <c r="BP13" s="4"/>
      <c r="BQ13" s="5"/>
      <c r="BR13" t="str">
        <f t="shared" si="1"/>
        <v/>
      </c>
    </row>
    <row r="14" spans="1:99" x14ac:dyDescent="0.3">
      <c r="A14" s="4" t="s">
        <v>113</v>
      </c>
      <c r="B14" t="s">
        <v>10</v>
      </c>
      <c r="C14" s="5">
        <v>0.57081146000000005</v>
      </c>
      <c r="D14" s="5">
        <v>0.74136380000000002</v>
      </c>
      <c r="E14" s="5">
        <v>0.50493080999999995</v>
      </c>
      <c r="F14">
        <f t="shared" ref="F14:F28" si="3">(E14-D14)/D14</f>
        <v>-0.31891628644398345</v>
      </c>
      <c r="G14">
        <f t="shared" ref="G14:G28" si="4">(E14-C14)/C14</f>
        <v>-0.11541578019474256</v>
      </c>
      <c r="I14" s="4" t="s">
        <v>113</v>
      </c>
      <c r="J14" t="s">
        <v>10</v>
      </c>
      <c r="K14" s="6">
        <v>7.3548413899999998</v>
      </c>
      <c r="L14" s="6">
        <v>10.54852262</v>
      </c>
      <c r="M14" s="6">
        <v>8.8351326100000005</v>
      </c>
      <c r="N14">
        <f t="shared" ref="N14:N28" si="5">(M14-L14)/L14</f>
        <v>-0.16242938198297188</v>
      </c>
      <c r="O14">
        <f t="shared" ref="O14:O28" si="6">(M14-K14)/K14</f>
        <v>0.20126759252927964</v>
      </c>
      <c r="Q14" s="4" t="s">
        <v>113</v>
      </c>
      <c r="R14" t="s">
        <v>10</v>
      </c>
      <c r="S14" s="6">
        <v>5845</v>
      </c>
      <c r="T14" s="6">
        <v>6780</v>
      </c>
      <c r="U14" s="6">
        <v>6323</v>
      </c>
      <c r="V14">
        <f t="shared" ref="V14:V28" si="7">(U14-T14)/T14</f>
        <v>-6.740412979351032E-2</v>
      </c>
      <c r="W14">
        <f t="shared" ref="W14:W28" si="8">(U14-S14)/S14</f>
        <v>8.1779298545765614E-2</v>
      </c>
      <c r="Y14" s="4" t="s">
        <v>113</v>
      </c>
      <c r="Z14" t="s">
        <v>10</v>
      </c>
      <c r="AA14" s="6">
        <v>5920</v>
      </c>
      <c r="AB14" s="6">
        <v>6427.1</v>
      </c>
      <c r="AC14" s="6">
        <v>7157.1</v>
      </c>
      <c r="AD14">
        <f t="shared" ref="AD14:AD28" si="9">(AC14-AB14)/AB14</f>
        <v>0.11358155311104541</v>
      </c>
      <c r="AE14">
        <f t="shared" ref="AE14:AE28" si="10">(AC14-AA14)/AA14</f>
        <v>0.20896959459459466</v>
      </c>
      <c r="AG14" s="4" t="s">
        <v>113</v>
      </c>
      <c r="AH14" t="s">
        <v>10</v>
      </c>
      <c r="AI14" s="5">
        <v>6.7013815000000001</v>
      </c>
      <c r="AJ14" s="5">
        <v>5.1321290900000003</v>
      </c>
      <c r="AK14" s="5">
        <v>5.71503374</v>
      </c>
      <c r="AL14">
        <f t="shared" ref="AL14:AL28" si="11">(AK14-AJ14)/AJ14</f>
        <v>0.11357949883524844</v>
      </c>
      <c r="AM14">
        <f t="shared" ref="AM14:AM28" si="12">(AK14-AI14)/AI14</f>
        <v>-0.1471857347623024</v>
      </c>
      <c r="BF14" s="23" t="s">
        <v>45</v>
      </c>
      <c r="BJ14" s="4"/>
      <c r="BK14" s="5"/>
      <c r="BL14" t="str">
        <f t="shared" si="2"/>
        <v/>
      </c>
      <c r="BM14" s="4"/>
      <c r="BN14" s="5"/>
      <c r="BO14" t="str">
        <f t="shared" si="0"/>
        <v/>
      </c>
      <c r="BP14" s="4"/>
      <c r="BQ14" s="5"/>
      <c r="BR14" t="str">
        <f t="shared" si="1"/>
        <v/>
      </c>
    </row>
    <row r="15" spans="1:99" ht="15" thickBot="1" x14ac:dyDescent="0.35">
      <c r="A15" s="4" t="s">
        <v>114</v>
      </c>
      <c r="B15" t="s">
        <v>10</v>
      </c>
      <c r="C15" s="5">
        <v>9.5535610000000007E-2</v>
      </c>
      <c r="D15" s="5">
        <v>0.64136380000000004</v>
      </c>
      <c r="E15" s="5">
        <v>0.30493081</v>
      </c>
      <c r="F15">
        <f t="shared" si="3"/>
        <v>-0.52455874497438115</v>
      </c>
      <c r="G15">
        <f t="shared" si="4"/>
        <v>2.1918026168462208</v>
      </c>
      <c r="I15" s="4" t="s">
        <v>114</v>
      </c>
      <c r="J15" t="s">
        <v>10</v>
      </c>
      <c r="K15" s="6">
        <v>2.7045372599999999</v>
      </c>
      <c r="L15" s="6">
        <v>4.2719157299999999</v>
      </c>
      <c r="M15" s="6">
        <v>6.8351326099999996</v>
      </c>
      <c r="N15">
        <f t="shared" si="5"/>
        <v>0.60001578729644078</v>
      </c>
      <c r="O15">
        <f t="shared" si="6"/>
        <v>1.5272835804820823</v>
      </c>
      <c r="Q15" s="4" t="s">
        <v>114</v>
      </c>
      <c r="R15" t="s">
        <v>10</v>
      </c>
      <c r="S15" s="6">
        <v>2182</v>
      </c>
      <c r="T15" s="6">
        <v>2973</v>
      </c>
      <c r="U15" s="6">
        <v>6323</v>
      </c>
      <c r="V15">
        <f t="shared" si="7"/>
        <v>1.1268079381096536</v>
      </c>
      <c r="W15">
        <f t="shared" si="8"/>
        <v>1.8978001833180569</v>
      </c>
      <c r="Y15" s="4" t="s">
        <v>114</v>
      </c>
      <c r="Z15" t="s">
        <v>10</v>
      </c>
      <c r="AA15" s="6">
        <v>6034.4</v>
      </c>
      <c r="AB15" s="6">
        <v>6475.2</v>
      </c>
      <c r="AC15" s="6">
        <v>7157.1</v>
      </c>
      <c r="AD15">
        <f t="shared" si="9"/>
        <v>0.1053094885100075</v>
      </c>
      <c r="AE15">
        <f t="shared" si="10"/>
        <v>0.18604998011401314</v>
      </c>
      <c r="AG15" s="4" t="s">
        <v>114</v>
      </c>
      <c r="AH15" t="s">
        <v>10</v>
      </c>
      <c r="AI15" s="5">
        <v>5.6047827100000003</v>
      </c>
      <c r="AJ15" s="5">
        <v>5.17051602</v>
      </c>
      <c r="AK15" s="5">
        <v>5.71503374</v>
      </c>
      <c r="AL15">
        <f t="shared" si="11"/>
        <v>0.10531206515824701</v>
      </c>
      <c r="AM15">
        <f t="shared" si="12"/>
        <v>1.9670883904792751E-2</v>
      </c>
      <c r="BF15" s="24" t="str">
        <f>'Ratings Dashboard'!R30</f>
        <v>P25-54</v>
      </c>
      <c r="BJ15" s="4"/>
      <c r="BK15" s="5"/>
      <c r="BL15" t="str">
        <f t="shared" si="2"/>
        <v/>
      </c>
      <c r="BM15" s="4"/>
      <c r="BN15" s="5"/>
      <c r="BO15" t="str">
        <f t="shared" si="0"/>
        <v/>
      </c>
      <c r="BP15" s="4"/>
      <c r="BQ15" s="5"/>
      <c r="BR15" t="str">
        <f t="shared" si="1"/>
        <v/>
      </c>
    </row>
    <row r="16" spans="1:99" x14ac:dyDescent="0.3">
      <c r="A16" s="4" t="s">
        <v>115</v>
      </c>
      <c r="B16" t="s">
        <v>10</v>
      </c>
      <c r="C16" s="5">
        <v>0.40148105000000001</v>
      </c>
      <c r="D16" s="5">
        <v>0.22139713999999999</v>
      </c>
      <c r="E16" s="5">
        <v>0.30405300000000002</v>
      </c>
      <c r="F16">
        <f t="shared" si="3"/>
        <v>0.3733375236915889</v>
      </c>
      <c r="G16">
        <f t="shared" si="4"/>
        <v>-0.24267160305573574</v>
      </c>
      <c r="I16" s="4" t="s">
        <v>115</v>
      </c>
      <c r="J16" t="s">
        <v>10</v>
      </c>
      <c r="K16" s="6">
        <v>3.0832557299999999</v>
      </c>
      <c r="L16" s="6">
        <v>4.2819157299999997</v>
      </c>
      <c r="M16" s="6">
        <v>5.2566730899999996</v>
      </c>
      <c r="N16">
        <f t="shared" si="5"/>
        <v>0.22764515265226856</v>
      </c>
      <c r="O16">
        <f t="shared" si="6"/>
        <v>0.70490985838531139</v>
      </c>
      <c r="Q16" s="4" t="s">
        <v>115</v>
      </c>
      <c r="R16" t="s">
        <v>10</v>
      </c>
      <c r="S16" s="6">
        <v>2593</v>
      </c>
      <c r="T16" s="6">
        <v>2773</v>
      </c>
      <c r="U16" s="6">
        <v>3808</v>
      </c>
      <c r="V16">
        <f t="shared" si="7"/>
        <v>0.37324197619906241</v>
      </c>
      <c r="W16">
        <f t="shared" si="8"/>
        <v>0.4685692248360972</v>
      </c>
      <c r="Y16" s="4" t="s">
        <v>115</v>
      </c>
      <c r="Z16" t="s">
        <v>10</v>
      </c>
      <c r="AA16" s="6">
        <v>4084.9</v>
      </c>
      <c r="AB16" s="6">
        <v>3475.2</v>
      </c>
      <c r="AC16" s="6">
        <v>7243.6</v>
      </c>
      <c r="AD16">
        <f t="shared" si="9"/>
        <v>1.0843692449355435</v>
      </c>
      <c r="AE16">
        <f t="shared" si="10"/>
        <v>0.77326250336605551</v>
      </c>
      <c r="AG16" s="4" t="s">
        <v>115</v>
      </c>
      <c r="AH16" t="s">
        <v>10</v>
      </c>
      <c r="AI16" s="5">
        <v>6.93468515</v>
      </c>
      <c r="AJ16" s="5">
        <v>5.67051602</v>
      </c>
      <c r="AK16" s="5">
        <v>5.7841337499999996</v>
      </c>
      <c r="AL16">
        <f t="shared" si="11"/>
        <v>2.0036576847551106E-2</v>
      </c>
      <c r="AM16">
        <f t="shared" si="12"/>
        <v>-0.1659125648984944</v>
      </c>
      <c r="BJ16" s="4"/>
      <c r="BK16" s="5"/>
      <c r="BL16" t="str">
        <f t="shared" si="2"/>
        <v/>
      </c>
      <c r="BM16" s="4"/>
      <c r="BN16" s="5"/>
      <c r="BO16" t="str">
        <f t="shared" si="0"/>
        <v/>
      </c>
      <c r="BP16" s="4"/>
      <c r="BQ16" s="5"/>
      <c r="BR16" t="str">
        <f t="shared" si="1"/>
        <v/>
      </c>
    </row>
    <row r="17" spans="1:70" x14ac:dyDescent="0.3">
      <c r="A17" s="4" t="s">
        <v>116</v>
      </c>
      <c r="B17" t="s">
        <v>10</v>
      </c>
      <c r="C17" s="5">
        <v>0.32913764000000001</v>
      </c>
      <c r="D17" s="5">
        <v>0.10202774000000001</v>
      </c>
      <c r="E17" s="5">
        <v>0.14217258999999999</v>
      </c>
      <c r="F17">
        <f t="shared" si="3"/>
        <v>0.39346995238745835</v>
      </c>
      <c r="G17">
        <f t="shared" si="4"/>
        <v>-0.5680451801258587</v>
      </c>
      <c r="I17" s="4" t="s">
        <v>116</v>
      </c>
      <c r="J17" t="s">
        <v>10</v>
      </c>
      <c r="K17" s="6">
        <v>1.98272318</v>
      </c>
      <c r="L17" s="6">
        <v>1.9707520199999999</v>
      </c>
      <c r="M17" s="6">
        <v>2.4801975000000001</v>
      </c>
      <c r="N17">
        <f t="shared" si="5"/>
        <v>0.25850308655271614</v>
      </c>
      <c r="O17">
        <f t="shared" si="6"/>
        <v>0.25090457660357812</v>
      </c>
      <c r="Q17" s="4" t="s">
        <v>116</v>
      </c>
      <c r="R17" t="s">
        <v>10</v>
      </c>
      <c r="S17" s="6">
        <v>2598</v>
      </c>
      <c r="T17" s="6">
        <v>1278</v>
      </c>
      <c r="U17" s="6">
        <v>1780</v>
      </c>
      <c r="V17">
        <f t="shared" si="7"/>
        <v>0.39280125195618154</v>
      </c>
      <c r="W17">
        <f t="shared" si="8"/>
        <v>-0.31485758275596615</v>
      </c>
      <c r="Y17" s="4" t="s">
        <v>116</v>
      </c>
      <c r="Z17" t="s">
        <v>10</v>
      </c>
      <c r="AA17" s="6">
        <v>4017.9</v>
      </c>
      <c r="AB17" s="6">
        <v>6483.4</v>
      </c>
      <c r="AC17" s="6">
        <v>6178.7</v>
      </c>
      <c r="AD17">
        <f t="shared" si="9"/>
        <v>-4.6996946046827255E-2</v>
      </c>
      <c r="AE17">
        <f t="shared" si="10"/>
        <v>0.53779337464844812</v>
      </c>
      <c r="AG17" s="4" t="s">
        <v>116</v>
      </c>
      <c r="AH17" t="s">
        <v>10</v>
      </c>
      <c r="AI17" s="5">
        <v>6.4804606900000001</v>
      </c>
      <c r="AJ17" s="5">
        <v>4.1770967499999996</v>
      </c>
      <c r="AK17" s="5">
        <v>5.7323092500000001</v>
      </c>
      <c r="AL17">
        <f t="shared" si="11"/>
        <v>0.37231900362374915</v>
      </c>
      <c r="AM17">
        <f t="shared" si="12"/>
        <v>-0.11544726151251447</v>
      </c>
      <c r="BJ17" s="4"/>
      <c r="BK17" s="5"/>
      <c r="BL17" t="str">
        <f t="shared" si="2"/>
        <v/>
      </c>
      <c r="BM17" s="4"/>
      <c r="BN17" s="5"/>
      <c r="BO17" t="str">
        <f t="shared" si="0"/>
        <v/>
      </c>
      <c r="BP17" s="4"/>
      <c r="BQ17" s="5"/>
      <c r="BR17" t="str">
        <f t="shared" si="1"/>
        <v/>
      </c>
    </row>
    <row r="18" spans="1:70" x14ac:dyDescent="0.3">
      <c r="A18" s="4" t="s">
        <v>111</v>
      </c>
      <c r="B18" t="s">
        <v>10</v>
      </c>
      <c r="C18" s="5">
        <v>0.25511550999999999</v>
      </c>
      <c r="D18" s="5">
        <v>0.39647964000000002</v>
      </c>
      <c r="E18" s="5">
        <v>0.48839795000000003</v>
      </c>
      <c r="F18">
        <f t="shared" si="3"/>
        <v>0.23183614169948297</v>
      </c>
      <c r="G18">
        <f t="shared" si="4"/>
        <v>0.91441888421444872</v>
      </c>
      <c r="I18" s="4" t="s">
        <v>111</v>
      </c>
      <c r="J18" t="s">
        <v>10</v>
      </c>
      <c r="K18" s="6">
        <v>4.6838108099999998</v>
      </c>
      <c r="L18" s="6">
        <v>8.2414718699999998</v>
      </c>
      <c r="M18" s="6">
        <v>7.9189555</v>
      </c>
      <c r="N18">
        <f t="shared" si="5"/>
        <v>-3.9133345971124424E-2</v>
      </c>
      <c r="O18">
        <f t="shared" si="6"/>
        <v>0.69070780636419438</v>
      </c>
      <c r="Q18" s="4" t="s">
        <v>111</v>
      </c>
      <c r="R18" t="s">
        <v>10</v>
      </c>
      <c r="S18" s="6">
        <v>3056</v>
      </c>
      <c r="T18" s="6">
        <v>4965</v>
      </c>
      <c r="U18" s="6">
        <v>6116</v>
      </c>
      <c r="V18">
        <f t="shared" si="7"/>
        <v>0.23182275931520643</v>
      </c>
      <c r="W18">
        <f t="shared" si="8"/>
        <v>1.0013089005235603</v>
      </c>
      <c r="Y18" s="4" t="s">
        <v>111</v>
      </c>
      <c r="Z18" t="s">
        <v>10</v>
      </c>
      <c r="AA18" s="6">
        <v>7328.2</v>
      </c>
      <c r="AB18" s="6">
        <v>6024.7</v>
      </c>
      <c r="AC18" s="6">
        <v>6857.7</v>
      </c>
      <c r="AD18">
        <f t="shared" si="9"/>
        <v>0.13826414593257755</v>
      </c>
      <c r="AE18">
        <f t="shared" si="10"/>
        <v>-6.4204033732703808E-2</v>
      </c>
      <c r="AG18" s="4" t="s">
        <v>111</v>
      </c>
      <c r="AH18" t="s">
        <v>10</v>
      </c>
      <c r="AI18" s="5">
        <v>5.9553402599999998</v>
      </c>
      <c r="AJ18" s="5">
        <v>4.8107868399999996</v>
      </c>
      <c r="AK18" s="5">
        <v>5.4759545899999997</v>
      </c>
      <c r="AL18">
        <f t="shared" si="11"/>
        <v>0.13826589539768513</v>
      </c>
      <c r="AM18">
        <f t="shared" si="12"/>
        <v>-8.0496772488361581E-2</v>
      </c>
      <c r="BE18" s="21"/>
      <c r="BF18" s="21" t="s">
        <v>63</v>
      </c>
      <c r="BH18" t="s">
        <v>64</v>
      </c>
      <c r="BJ18" s="4"/>
      <c r="BK18" s="5"/>
      <c r="BL18" t="str">
        <f t="shared" si="2"/>
        <v/>
      </c>
      <c r="BM18" s="4"/>
      <c r="BN18" s="5"/>
      <c r="BO18" t="str">
        <f t="shared" si="0"/>
        <v/>
      </c>
      <c r="BP18" s="4"/>
      <c r="BQ18" s="5"/>
      <c r="BR18" t="str">
        <f t="shared" si="1"/>
        <v/>
      </c>
    </row>
    <row r="19" spans="1:70" x14ac:dyDescent="0.3">
      <c r="A19" s="4" t="s">
        <v>113</v>
      </c>
      <c r="B19" t="s">
        <v>11</v>
      </c>
      <c r="C19" s="5">
        <v>0.75744663999999995</v>
      </c>
      <c r="D19" s="5">
        <v>0.70454112000000002</v>
      </c>
      <c r="E19" s="5">
        <v>0.61800136999999999</v>
      </c>
      <c r="F19">
        <f t="shared" si="3"/>
        <v>-0.12283136859350384</v>
      </c>
      <c r="G19">
        <f t="shared" si="4"/>
        <v>-0.18409913337261613</v>
      </c>
      <c r="I19" s="4" t="s">
        <v>113</v>
      </c>
      <c r="J19" t="s">
        <v>11</v>
      </c>
      <c r="K19" s="6">
        <v>6.1082646499999997</v>
      </c>
      <c r="L19" s="6">
        <v>7.98717875</v>
      </c>
      <c r="M19" s="6">
        <v>9.0100543099999992</v>
      </c>
      <c r="N19">
        <f t="shared" si="5"/>
        <v>0.12806468867370713</v>
      </c>
      <c r="O19">
        <f t="shared" si="6"/>
        <v>0.4750595834121234</v>
      </c>
      <c r="Q19" s="4" t="s">
        <v>113</v>
      </c>
      <c r="R19" t="s">
        <v>11</v>
      </c>
      <c r="S19" s="6">
        <v>7569</v>
      </c>
      <c r="T19" s="6">
        <v>8061</v>
      </c>
      <c r="U19" s="6">
        <v>7070</v>
      </c>
      <c r="V19">
        <f t="shared" si="7"/>
        <v>-0.12293760079394617</v>
      </c>
      <c r="W19">
        <f t="shared" si="8"/>
        <v>-6.5926806711586738E-2</v>
      </c>
      <c r="Y19" s="4" t="s">
        <v>113</v>
      </c>
      <c r="Z19" t="s">
        <v>11</v>
      </c>
      <c r="AA19" s="6">
        <v>6408.4</v>
      </c>
      <c r="AB19" s="6">
        <v>7336.3</v>
      </c>
      <c r="AC19" s="6">
        <v>6547.3</v>
      </c>
      <c r="AD19">
        <f t="shared" si="9"/>
        <v>-0.10754740127857366</v>
      </c>
      <c r="AE19">
        <f t="shared" si="10"/>
        <v>2.1674676986455362E-2</v>
      </c>
      <c r="AG19" s="4" t="s">
        <v>113</v>
      </c>
      <c r="AH19" t="s">
        <v>11</v>
      </c>
      <c r="AI19" s="5">
        <v>8.5160368000000002</v>
      </c>
      <c r="AJ19" s="5">
        <v>6.4123933900000001</v>
      </c>
      <c r="AK19" s="5">
        <v>6.8590193700000004</v>
      </c>
      <c r="AL19">
        <f t="shared" si="11"/>
        <v>6.9650433595746741E-2</v>
      </c>
      <c r="AM19">
        <f t="shared" si="12"/>
        <v>-0.19457612371989746</v>
      </c>
      <c r="BE19" t="str" cm="1">
        <f t="array" ref="BE19:BE59">_xlfn.XLOOKUP(BU35:BU75,BS3:BS34,BS3:BS34)</f>
        <v>ST1 -Program 1</v>
      </c>
      <c r="BF19" cm="1">
        <f t="array" ref="BF19:BF59">_xlfn.XLOOKUP(BU35:BU75,BS3:BS34,BT3:BT34)</f>
        <v>-0.12283136859350384</v>
      </c>
      <c r="BG19" t="str" cm="1">
        <f t="array" ref="BG19:BG59">_xlfn.XLOOKUP(BU35:BU75,BV3:BV34,BV3:BV34)</f>
        <v>ST1 -Program 1</v>
      </c>
      <c r="BH19" cm="1">
        <f t="array" ref="BH19:BH59">_xlfn.XLOOKUP(BU35:BU75,BV3:BV34,BW3:BW34)</f>
        <v>-0.18409913337261613</v>
      </c>
      <c r="BL19" t="str">
        <f t="shared" si="2"/>
        <v/>
      </c>
      <c r="BM19" s="4"/>
      <c r="BN19" s="5"/>
      <c r="BO19" t="str">
        <f t="shared" si="0"/>
        <v/>
      </c>
      <c r="BP19" s="4"/>
      <c r="BQ19" s="5"/>
      <c r="BR19" t="str">
        <f t="shared" si="1"/>
        <v/>
      </c>
    </row>
    <row r="20" spans="1:70" x14ac:dyDescent="0.3">
      <c r="A20" s="4" t="s">
        <v>114</v>
      </c>
      <c r="B20" t="s">
        <v>11</v>
      </c>
      <c r="C20" s="5">
        <v>0.47674144000000002</v>
      </c>
      <c r="D20" s="4" t="s">
        <v>20</v>
      </c>
      <c r="E20" s="5">
        <v>0.61800136999999999</v>
      </c>
      <c r="F20" t="e">
        <f t="shared" si="3"/>
        <v>#VALUE!</v>
      </c>
      <c r="G20">
        <f t="shared" si="4"/>
        <v>0.29630302329077995</v>
      </c>
      <c r="I20" s="4" t="s">
        <v>114</v>
      </c>
      <c r="J20" t="s">
        <v>11</v>
      </c>
      <c r="K20" s="6">
        <v>6.0175905099999998</v>
      </c>
      <c r="L20" s="6">
        <v>5.98717875</v>
      </c>
      <c r="M20" s="6">
        <v>9.3100543099999999</v>
      </c>
      <c r="N20">
        <f t="shared" si="5"/>
        <v>0.5549985558724132</v>
      </c>
      <c r="O20">
        <f t="shared" si="6"/>
        <v>0.54713988838698835</v>
      </c>
      <c r="Q20" s="4" t="s">
        <v>114</v>
      </c>
      <c r="R20" t="s">
        <v>11</v>
      </c>
      <c r="S20" s="6">
        <v>5394</v>
      </c>
      <c r="T20" s="6">
        <v>4447</v>
      </c>
      <c r="U20" s="6">
        <v>7570</v>
      </c>
      <c r="V20">
        <f t="shared" si="7"/>
        <v>0.70227119406341354</v>
      </c>
      <c r="W20">
        <f t="shared" si="8"/>
        <v>0.40341119762699296</v>
      </c>
      <c r="Y20" s="4" t="s">
        <v>114</v>
      </c>
      <c r="Z20" t="s">
        <v>11</v>
      </c>
      <c r="AA20" s="6">
        <v>8963.2000000000007</v>
      </c>
      <c r="AB20" s="6">
        <v>7936.3</v>
      </c>
      <c r="AC20" s="6">
        <v>7847.3</v>
      </c>
      <c r="AD20">
        <f t="shared" si="9"/>
        <v>-1.121429381449794E-2</v>
      </c>
      <c r="AE20">
        <f t="shared" si="10"/>
        <v>-0.124497947161728</v>
      </c>
      <c r="AG20" s="4" t="s">
        <v>114</v>
      </c>
      <c r="AH20" t="s">
        <v>11</v>
      </c>
      <c r="AI20" s="5">
        <v>7.9224638900000004</v>
      </c>
      <c r="AJ20" s="5">
        <v>5.4123933900000001</v>
      </c>
      <c r="AK20" s="5">
        <v>6.8590193700000004</v>
      </c>
      <c r="AL20">
        <f t="shared" si="11"/>
        <v>0.26728027247110364</v>
      </c>
      <c r="AM20">
        <f t="shared" si="12"/>
        <v>-0.13423153892090506</v>
      </c>
      <c r="BE20" t="str">
        <v>ST1 -Program 2</v>
      </c>
      <c r="BF20" t="str">
        <v/>
      </c>
      <c r="BG20" t="str">
        <v>ST1 -Program 2</v>
      </c>
      <c r="BH20">
        <v>0.29630302329077995</v>
      </c>
      <c r="BL20" t="str">
        <f t="shared" si="2"/>
        <v/>
      </c>
      <c r="BM20" s="4"/>
      <c r="BN20" s="5"/>
      <c r="BO20" t="str">
        <f t="shared" si="0"/>
        <v/>
      </c>
      <c r="BP20" s="4"/>
      <c r="BQ20" s="5"/>
      <c r="BR20" t="str">
        <f t="shared" si="1"/>
        <v/>
      </c>
    </row>
    <row r="21" spans="1:70" x14ac:dyDescent="0.3">
      <c r="A21" s="4" t="s">
        <v>115</v>
      </c>
      <c r="B21" t="s">
        <v>11</v>
      </c>
      <c r="C21" s="5">
        <v>0.33948771</v>
      </c>
      <c r="D21" s="5">
        <v>0.30129939</v>
      </c>
      <c r="E21" s="5">
        <v>0.94235838999999999</v>
      </c>
      <c r="F21">
        <f t="shared" si="3"/>
        <v>2.1276478521911382</v>
      </c>
      <c r="G21">
        <f t="shared" si="4"/>
        <v>1.7758247566605578</v>
      </c>
      <c r="I21" s="4" t="s">
        <v>115</v>
      </c>
      <c r="J21" t="s">
        <v>11</v>
      </c>
      <c r="K21" s="6">
        <v>3.8707528600000001</v>
      </c>
      <c r="L21" s="6">
        <v>4.6679623799999996</v>
      </c>
      <c r="M21" s="6">
        <v>6.4265469499999996</v>
      </c>
      <c r="N21">
        <f t="shared" si="5"/>
        <v>0.37673494917926054</v>
      </c>
      <c r="O21">
        <f t="shared" si="6"/>
        <v>0.66028345968851121</v>
      </c>
      <c r="Q21" s="4" t="s">
        <v>115</v>
      </c>
      <c r="R21" t="s">
        <v>11</v>
      </c>
      <c r="S21" s="6">
        <v>2709</v>
      </c>
      <c r="T21" s="6">
        <v>3447</v>
      </c>
      <c r="U21" s="6">
        <v>5061</v>
      </c>
      <c r="V21">
        <f t="shared" si="7"/>
        <v>0.46823324630113144</v>
      </c>
      <c r="W21">
        <f t="shared" si="8"/>
        <v>0.86821705426356588</v>
      </c>
      <c r="Y21" s="4" t="s">
        <v>115</v>
      </c>
      <c r="Z21" t="s">
        <v>11</v>
      </c>
      <c r="AA21" s="6">
        <v>7438.2</v>
      </c>
      <c r="AB21" s="6">
        <v>7284.6</v>
      </c>
      <c r="AC21" s="6">
        <v>6875</v>
      </c>
      <c r="AD21">
        <f t="shared" si="9"/>
        <v>-5.6228207451335742E-2</v>
      </c>
      <c r="AE21">
        <f t="shared" si="10"/>
        <v>-7.5717243419106753E-2</v>
      </c>
      <c r="AG21" s="4" t="s">
        <v>115</v>
      </c>
      <c r="AH21" t="s">
        <v>11</v>
      </c>
      <c r="AI21" s="5">
        <v>8.3423312599999999</v>
      </c>
      <c r="AJ21" s="5">
        <v>6.2546232899999996</v>
      </c>
      <c r="AK21" s="5">
        <v>6.8832981699999998</v>
      </c>
      <c r="AL21">
        <f t="shared" si="11"/>
        <v>0.10051362821564913</v>
      </c>
      <c r="AM21">
        <f t="shared" si="12"/>
        <v>-0.17489512757612555</v>
      </c>
      <c r="BE21" t="str">
        <v>ST2 - Program 1</v>
      </c>
      <c r="BF21">
        <v>2.1276478521911382</v>
      </c>
      <c r="BG21" t="str">
        <v>ST2 - Program 1</v>
      </c>
      <c r="BH21">
        <v>1.7758247566605578</v>
      </c>
      <c r="BL21" t="str">
        <f t="shared" si="2"/>
        <v/>
      </c>
      <c r="BM21" s="4"/>
      <c r="BN21" s="5"/>
      <c r="BO21" t="str">
        <f t="shared" si="0"/>
        <v/>
      </c>
      <c r="BP21" s="4"/>
      <c r="BQ21" s="5"/>
      <c r="BR21" t="str">
        <f t="shared" si="1"/>
        <v/>
      </c>
    </row>
    <row r="22" spans="1:70" x14ac:dyDescent="0.3">
      <c r="A22" s="4" t="s">
        <v>116</v>
      </c>
      <c r="B22" t="s">
        <v>11</v>
      </c>
      <c r="C22" s="5">
        <v>0.56701124000000003</v>
      </c>
      <c r="D22" s="5">
        <v>0.15140795000000001</v>
      </c>
      <c r="E22" s="5">
        <v>0.23006673</v>
      </c>
      <c r="F22">
        <f t="shared" si="3"/>
        <v>0.51951552081644314</v>
      </c>
      <c r="G22">
        <f t="shared" si="4"/>
        <v>-0.59424661493482922</v>
      </c>
      <c r="I22" s="4" t="s">
        <v>116</v>
      </c>
      <c r="J22" t="s">
        <v>11</v>
      </c>
      <c r="K22" s="6">
        <v>1.9987191799999999</v>
      </c>
      <c r="L22" s="6">
        <v>2.3440395399999998</v>
      </c>
      <c r="M22" s="6">
        <v>3.3503788999999999</v>
      </c>
      <c r="N22">
        <f t="shared" si="5"/>
        <v>0.42931842352795818</v>
      </c>
      <c r="O22">
        <f t="shared" si="6"/>
        <v>0.67626294555296163</v>
      </c>
      <c r="Q22" s="4" t="s">
        <v>116</v>
      </c>
      <c r="R22" t="s">
        <v>11</v>
      </c>
      <c r="S22" s="6">
        <v>1890</v>
      </c>
      <c r="T22" s="6">
        <v>1732</v>
      </c>
      <c r="U22" s="6">
        <v>2632</v>
      </c>
      <c r="V22">
        <f t="shared" si="7"/>
        <v>0.51963048498845266</v>
      </c>
      <c r="W22">
        <f t="shared" si="8"/>
        <v>0.3925925925925926</v>
      </c>
      <c r="Y22" s="4" t="s">
        <v>116</v>
      </c>
      <c r="Z22" t="s">
        <v>11</v>
      </c>
      <c r="AA22" s="6">
        <v>9653.6</v>
      </c>
      <c r="AB22" s="6">
        <v>7389.9</v>
      </c>
      <c r="AC22" s="6">
        <v>7856.3</v>
      </c>
      <c r="AD22">
        <f t="shared" si="9"/>
        <v>6.311316797250309E-2</v>
      </c>
      <c r="AE22">
        <f t="shared" si="10"/>
        <v>-0.18617924919201129</v>
      </c>
      <c r="AG22" s="4" t="s">
        <v>116</v>
      </c>
      <c r="AH22" t="s">
        <v>11</v>
      </c>
      <c r="AI22" s="5">
        <v>8.2559130700000001</v>
      </c>
      <c r="AJ22" s="5">
        <v>6.4592744099999999</v>
      </c>
      <c r="AK22" s="5">
        <v>6.8668869499999996</v>
      </c>
      <c r="AL22">
        <f t="shared" si="11"/>
        <v>6.3105004390113795E-2</v>
      </c>
      <c r="AM22">
        <f t="shared" si="12"/>
        <v>-0.16824621434634371</v>
      </c>
      <c r="BE22" t="str">
        <v>ST3 - Program 1</v>
      </c>
      <c r="BF22">
        <v>0.51951552081644314</v>
      </c>
      <c r="BG22" t="str">
        <v>ST3 - Program 1</v>
      </c>
      <c r="BH22">
        <v>-0.59424661493482922</v>
      </c>
      <c r="BL22" t="str">
        <f t="shared" si="2"/>
        <v/>
      </c>
      <c r="BM22" s="4"/>
      <c r="BN22" s="5"/>
      <c r="BO22" t="str">
        <f t="shared" si="0"/>
        <v/>
      </c>
      <c r="BP22" s="4"/>
      <c r="BQ22" s="5"/>
      <c r="BR22" t="str">
        <f t="shared" si="1"/>
        <v/>
      </c>
    </row>
    <row r="23" spans="1:70" x14ac:dyDescent="0.3">
      <c r="A23" s="4" t="s">
        <v>111</v>
      </c>
      <c r="B23" t="s">
        <v>11</v>
      </c>
      <c r="C23" s="5">
        <v>0.4898518</v>
      </c>
      <c r="D23" s="5">
        <v>0.43759582000000002</v>
      </c>
      <c r="E23" s="5">
        <v>0.52787552000000004</v>
      </c>
      <c r="F23">
        <f t="shared" si="3"/>
        <v>0.20630841492041677</v>
      </c>
      <c r="G23">
        <f t="shared" si="4"/>
        <v>7.7622905540002174E-2</v>
      </c>
      <c r="I23" s="4" t="s">
        <v>111</v>
      </c>
      <c r="J23" t="s">
        <v>11</v>
      </c>
      <c r="K23" s="6">
        <v>3.83619932</v>
      </c>
      <c r="L23" s="6">
        <v>7.1577260699999998</v>
      </c>
      <c r="M23" s="6">
        <v>8.1568330600000003</v>
      </c>
      <c r="N23">
        <f t="shared" si="5"/>
        <v>0.13958441273514682</v>
      </c>
      <c r="O23">
        <f t="shared" si="6"/>
        <v>1.1262797836062386</v>
      </c>
      <c r="Q23" s="4" t="s">
        <v>111</v>
      </c>
      <c r="R23" t="s">
        <v>11</v>
      </c>
      <c r="S23" s="6">
        <v>3279</v>
      </c>
      <c r="T23" s="6">
        <v>5006</v>
      </c>
      <c r="U23" s="6">
        <v>6039</v>
      </c>
      <c r="V23">
        <f t="shared" si="7"/>
        <v>0.2063523771474231</v>
      </c>
      <c r="W23">
        <f t="shared" si="8"/>
        <v>0.84172003659652328</v>
      </c>
      <c r="Y23" s="4" t="s">
        <v>111</v>
      </c>
      <c r="Z23" t="s">
        <v>11</v>
      </c>
      <c r="AA23" s="6">
        <v>8548.2000000000007</v>
      </c>
      <c r="AB23" s="6">
        <v>6794.5</v>
      </c>
      <c r="AC23" s="6">
        <v>7404</v>
      </c>
      <c r="AD23">
        <f t="shared" si="9"/>
        <v>8.9704908381779386E-2</v>
      </c>
      <c r="AE23">
        <f t="shared" si="10"/>
        <v>-0.13385274092791472</v>
      </c>
      <c r="AG23" s="4" t="s">
        <v>111</v>
      </c>
      <c r="AH23" t="s">
        <v>11</v>
      </c>
      <c r="AI23" s="5">
        <v>7.5557024000000004</v>
      </c>
      <c r="AJ23" s="5">
        <v>5.1136150699999998</v>
      </c>
      <c r="AK23" s="5">
        <v>6.5715744000000003</v>
      </c>
      <c r="AL23">
        <f t="shared" si="11"/>
        <v>0.2851132339924054</v>
      </c>
      <c r="AM23">
        <f t="shared" si="12"/>
        <v>-0.13024970385281454</v>
      </c>
      <c r="BE23" t="str">
        <v>ST4 - Program 1</v>
      </c>
      <c r="BF23">
        <v>0.20630841492041677</v>
      </c>
      <c r="BG23" t="str">
        <v>ST4 - Program 1</v>
      </c>
      <c r="BH23">
        <v>7.7622905540002174E-2</v>
      </c>
      <c r="BM23" s="4"/>
      <c r="BN23" s="5"/>
      <c r="BO23" t="str">
        <f t="shared" si="0"/>
        <v/>
      </c>
      <c r="BP23" s="4"/>
      <c r="BQ23" s="5"/>
      <c r="BR23" t="str">
        <f t="shared" si="1"/>
        <v/>
      </c>
    </row>
    <row r="24" spans="1:70" x14ac:dyDescent="0.3">
      <c r="A24" s="4" t="s">
        <v>113</v>
      </c>
      <c r="B24" t="s">
        <v>12</v>
      </c>
      <c r="C24" s="5">
        <v>0.96587818000000003</v>
      </c>
      <c r="D24" s="5">
        <v>0.84621851000000003</v>
      </c>
      <c r="E24" s="5">
        <v>0.71205130000000005</v>
      </c>
      <c r="F24">
        <f t="shared" si="3"/>
        <v>-0.15854913171303706</v>
      </c>
      <c r="G24">
        <f t="shared" si="4"/>
        <v>-0.26279388566371792</v>
      </c>
      <c r="I24" s="4" t="s">
        <v>113</v>
      </c>
      <c r="J24" t="s">
        <v>12</v>
      </c>
      <c r="K24" s="6">
        <v>7.7024921300000004</v>
      </c>
      <c r="L24" s="6">
        <v>10.85236171</v>
      </c>
      <c r="M24" s="6">
        <v>8.7845693399999991</v>
      </c>
      <c r="N24">
        <f t="shared" si="5"/>
        <v>-0.1905384675940737</v>
      </c>
      <c r="O24">
        <f t="shared" si="6"/>
        <v>0.14048403967664924</v>
      </c>
      <c r="Q24" s="4" t="s">
        <v>113</v>
      </c>
      <c r="R24" t="s">
        <v>12</v>
      </c>
      <c r="S24" s="6">
        <v>6931</v>
      </c>
      <c r="T24" s="6">
        <v>3869</v>
      </c>
      <c r="U24" s="6">
        <v>4097</v>
      </c>
      <c r="V24">
        <f t="shared" si="7"/>
        <v>5.8929956060997671E-2</v>
      </c>
      <c r="W24">
        <f t="shared" si="8"/>
        <v>-0.40888760640600202</v>
      </c>
      <c r="Y24" s="4" t="s">
        <v>113</v>
      </c>
      <c r="Z24" t="s">
        <v>12</v>
      </c>
      <c r="AA24" s="6">
        <v>5788.7</v>
      </c>
      <c r="AB24" s="6">
        <v>3788.5</v>
      </c>
      <c r="AC24" s="6">
        <v>4187.3999999999996</v>
      </c>
      <c r="AD24">
        <f t="shared" si="9"/>
        <v>0.10529233205754247</v>
      </c>
      <c r="AE24">
        <f t="shared" si="10"/>
        <v>-0.27662514899718421</v>
      </c>
      <c r="AG24" s="4" t="s">
        <v>113</v>
      </c>
      <c r="AH24" t="s">
        <v>12</v>
      </c>
      <c r="AI24" s="5">
        <v>7.1121167300000003</v>
      </c>
      <c r="AJ24" s="5">
        <v>6.5841479100000004</v>
      </c>
      <c r="AK24" s="5">
        <v>6.2772881199999997</v>
      </c>
      <c r="AL24">
        <f t="shared" si="11"/>
        <v>-4.6605846981952248E-2</v>
      </c>
      <c r="AM24">
        <f t="shared" si="12"/>
        <v>-0.11738117380421575</v>
      </c>
      <c r="BE24">
        <v>0</v>
      </c>
      <c r="BF24">
        <v>0</v>
      </c>
      <c r="BG24">
        <v>0</v>
      </c>
      <c r="BH24">
        <v>0</v>
      </c>
      <c r="BM24" s="4"/>
      <c r="BN24" s="5"/>
      <c r="BO24" t="str">
        <f t="shared" si="0"/>
        <v/>
      </c>
      <c r="BP24" s="4"/>
      <c r="BQ24" s="5"/>
      <c r="BR24" t="str">
        <f t="shared" si="1"/>
        <v/>
      </c>
    </row>
    <row r="25" spans="1:70" x14ac:dyDescent="0.3">
      <c r="A25" s="4" t="s">
        <v>114</v>
      </c>
      <c r="B25" t="s">
        <v>12</v>
      </c>
      <c r="C25" s="5">
        <v>0.71727074999999996</v>
      </c>
      <c r="D25" s="5">
        <v>0.34621850999999998</v>
      </c>
      <c r="E25" s="5">
        <v>0.7820513</v>
      </c>
      <c r="F25">
        <f t="shared" si="3"/>
        <v>1.2588373452361055</v>
      </c>
      <c r="G25">
        <f t="shared" si="4"/>
        <v>9.0315337688034888E-2</v>
      </c>
      <c r="I25" s="4" t="s">
        <v>114</v>
      </c>
      <c r="J25" t="s">
        <v>12</v>
      </c>
      <c r="K25" s="6">
        <v>8.5832370099999995</v>
      </c>
      <c r="L25" s="6">
        <v>12.85236171</v>
      </c>
      <c r="M25" s="6">
        <v>9.7845693399999991</v>
      </c>
      <c r="N25">
        <f t="shared" si="5"/>
        <v>-0.2386948359547843</v>
      </c>
      <c r="O25">
        <f t="shared" si="6"/>
        <v>0.13996261883487238</v>
      </c>
      <c r="Q25" s="4" t="s">
        <v>114</v>
      </c>
      <c r="R25" t="s">
        <v>12</v>
      </c>
      <c r="S25" s="6">
        <v>4084</v>
      </c>
      <c r="T25" s="6">
        <v>4469</v>
      </c>
      <c r="U25" s="6">
        <v>5097</v>
      </c>
      <c r="V25">
        <f t="shared" si="7"/>
        <v>0.14052360707093309</v>
      </c>
      <c r="W25">
        <f t="shared" si="8"/>
        <v>0.2480411361410382</v>
      </c>
      <c r="Y25" s="4" t="s">
        <v>114</v>
      </c>
      <c r="Z25" t="s">
        <v>12</v>
      </c>
      <c r="AA25" s="6">
        <v>4758.5</v>
      </c>
      <c r="AB25" s="6">
        <v>3449.2</v>
      </c>
      <c r="AC25" s="6">
        <v>3187.4</v>
      </c>
      <c r="AD25">
        <f t="shared" si="9"/>
        <v>-7.5901658355560633E-2</v>
      </c>
      <c r="AE25">
        <f t="shared" si="10"/>
        <v>-0.33016706945466007</v>
      </c>
      <c r="AG25" s="4" t="s">
        <v>114</v>
      </c>
      <c r="AH25" t="s">
        <v>12</v>
      </c>
      <c r="AI25" s="5">
        <v>8.5566462399999992</v>
      </c>
      <c r="AJ25" s="5">
        <v>6.9841479099999999</v>
      </c>
      <c r="AK25" s="5">
        <v>7.2772881199999997</v>
      </c>
      <c r="AL25">
        <f t="shared" si="11"/>
        <v>4.1972222492636158E-2</v>
      </c>
      <c r="AM25">
        <f t="shared" si="12"/>
        <v>-0.14951630394854323</v>
      </c>
      <c r="BE25">
        <v>0</v>
      </c>
      <c r="BF25">
        <v>0</v>
      </c>
      <c r="BG25">
        <v>0</v>
      </c>
      <c r="BH25">
        <v>0</v>
      </c>
      <c r="BM25" s="4"/>
      <c r="BN25" s="5"/>
      <c r="BP25" s="4"/>
      <c r="BQ25" s="5"/>
    </row>
    <row r="26" spans="1:70" x14ac:dyDescent="0.3">
      <c r="A26" s="4" t="s">
        <v>115</v>
      </c>
      <c r="B26" t="s">
        <v>12</v>
      </c>
      <c r="C26" s="5">
        <v>0.41686136000000001</v>
      </c>
      <c r="D26" s="5">
        <v>0.25410451000000001</v>
      </c>
      <c r="E26" s="5">
        <v>0.39339384999999999</v>
      </c>
      <c r="F26">
        <f t="shared" si="3"/>
        <v>0.54815768519810992</v>
      </c>
      <c r="G26">
        <f t="shared" si="4"/>
        <v>-5.6295719037139889E-2</v>
      </c>
      <c r="I26" s="4" t="s">
        <v>115</v>
      </c>
      <c r="J26" t="s">
        <v>12</v>
      </c>
      <c r="K26" s="6">
        <v>4.5154797200000001</v>
      </c>
      <c r="L26" s="6">
        <v>3.89982936</v>
      </c>
      <c r="M26" s="6">
        <v>5.2751811200000001</v>
      </c>
      <c r="N26">
        <f t="shared" si="5"/>
        <v>0.35266972809292352</v>
      </c>
      <c r="O26">
        <f t="shared" si="6"/>
        <v>0.16824378518081351</v>
      </c>
      <c r="Q26" s="4" t="s">
        <v>115</v>
      </c>
      <c r="R26" t="s">
        <v>12</v>
      </c>
      <c r="S26" s="6">
        <v>1704</v>
      </c>
      <c r="T26" s="6">
        <v>1462</v>
      </c>
      <c r="U26" s="6">
        <v>2264</v>
      </c>
      <c r="V26">
        <f t="shared" si="7"/>
        <v>0.54856361149110811</v>
      </c>
      <c r="W26">
        <f t="shared" si="8"/>
        <v>0.32863849765258218</v>
      </c>
      <c r="Y26" s="4" t="s">
        <v>115</v>
      </c>
      <c r="Z26" t="s">
        <v>12</v>
      </c>
      <c r="AA26" s="6">
        <v>5732.4</v>
      </c>
      <c r="AB26" s="6">
        <v>2749.2</v>
      </c>
      <c r="AC26" s="6">
        <v>4291</v>
      </c>
      <c r="AD26">
        <f t="shared" si="9"/>
        <v>0.5608176924196131</v>
      </c>
      <c r="AE26">
        <f t="shared" si="10"/>
        <v>-0.25144791012490403</v>
      </c>
      <c r="AG26" s="4" t="s">
        <v>115</v>
      </c>
      <c r="AH26" t="s">
        <v>12</v>
      </c>
      <c r="AI26" s="5">
        <v>9.0133177199999999</v>
      </c>
      <c r="AJ26" s="5">
        <v>6.51578546</v>
      </c>
      <c r="AK26" s="5">
        <v>7.4574472199999997</v>
      </c>
      <c r="AL26">
        <f t="shared" si="11"/>
        <v>0.14452006834491443</v>
      </c>
      <c r="AM26">
        <f t="shared" si="12"/>
        <v>-0.17261906751024861</v>
      </c>
      <c r="BE26">
        <v>0</v>
      </c>
      <c r="BF26">
        <v>0</v>
      </c>
      <c r="BG26">
        <v>0</v>
      </c>
      <c r="BH26">
        <v>0</v>
      </c>
      <c r="BM26" s="4"/>
      <c r="BN26" s="5"/>
      <c r="BP26" s="4"/>
      <c r="BQ26" s="5"/>
    </row>
    <row r="27" spans="1:70" x14ac:dyDescent="0.3">
      <c r="A27" s="4" t="s">
        <v>116</v>
      </c>
      <c r="B27" t="s">
        <v>12</v>
      </c>
      <c r="C27" s="5">
        <v>0.17086865000000001</v>
      </c>
      <c r="D27" s="5">
        <v>0.15822606</v>
      </c>
      <c r="E27" s="5">
        <v>0.26592789999999999</v>
      </c>
      <c r="F27">
        <f t="shared" si="3"/>
        <v>0.68068332106607465</v>
      </c>
      <c r="G27">
        <f t="shared" si="4"/>
        <v>0.55632937932148452</v>
      </c>
      <c r="I27" s="4" t="s">
        <v>116</v>
      </c>
      <c r="J27" t="s">
        <v>12</v>
      </c>
      <c r="K27" s="6">
        <v>2.85607436</v>
      </c>
      <c r="L27" s="6">
        <v>2.3839425699999999</v>
      </c>
      <c r="M27" s="6">
        <v>3.6182799299999999</v>
      </c>
      <c r="N27">
        <f t="shared" si="5"/>
        <v>0.51777143272373383</v>
      </c>
      <c r="O27">
        <f t="shared" si="6"/>
        <v>0.26687175259680562</v>
      </c>
      <c r="Q27" s="4" t="s">
        <v>116</v>
      </c>
      <c r="R27" t="s">
        <v>12</v>
      </c>
      <c r="S27" s="6">
        <v>973</v>
      </c>
      <c r="T27" s="6">
        <v>1910</v>
      </c>
      <c r="U27" s="6">
        <v>1530</v>
      </c>
      <c r="V27">
        <f t="shared" si="7"/>
        <v>-0.19895287958115182</v>
      </c>
      <c r="W27">
        <f t="shared" si="8"/>
        <v>0.57245632065775953</v>
      </c>
      <c r="Y27" s="4" t="s">
        <v>116</v>
      </c>
      <c r="Z27" t="s">
        <v>12</v>
      </c>
      <c r="AA27" s="6">
        <v>4242.1000000000004</v>
      </c>
      <c r="AB27" s="6">
        <v>3819</v>
      </c>
      <c r="AC27" s="6">
        <v>4229</v>
      </c>
      <c r="AD27">
        <f t="shared" si="9"/>
        <v>0.1073579471065724</v>
      </c>
      <c r="AE27">
        <f t="shared" si="10"/>
        <v>-3.0880931614059928E-3</v>
      </c>
      <c r="AG27" s="4" t="s">
        <v>116</v>
      </c>
      <c r="AH27" t="s">
        <v>12</v>
      </c>
      <c r="AI27" s="5">
        <v>9.8059161600000007</v>
      </c>
      <c r="AJ27" s="5">
        <v>5.6371590899999999</v>
      </c>
      <c r="AK27" s="5">
        <v>7.34956692</v>
      </c>
      <c r="AL27">
        <f t="shared" si="11"/>
        <v>0.30377142150160608</v>
      </c>
      <c r="AM27">
        <f t="shared" si="12"/>
        <v>-0.25049665935548854</v>
      </c>
      <c r="BE27">
        <v>0</v>
      </c>
      <c r="BF27">
        <v>0</v>
      </c>
      <c r="BG27">
        <v>0</v>
      </c>
      <c r="BH27">
        <v>0</v>
      </c>
      <c r="BM27" s="4"/>
      <c r="BN27" s="5"/>
      <c r="BP27" s="4"/>
      <c r="BQ27" s="5"/>
    </row>
    <row r="28" spans="1:70" x14ac:dyDescent="0.3">
      <c r="A28" s="4" t="s">
        <v>111</v>
      </c>
      <c r="B28" t="s">
        <v>12</v>
      </c>
      <c r="C28" s="5">
        <v>0.36015483999999998</v>
      </c>
      <c r="D28" s="5">
        <v>0.28445063999999998</v>
      </c>
      <c r="E28" s="5">
        <v>0.23202244</v>
      </c>
      <c r="F28">
        <f t="shared" si="3"/>
        <v>-0.18431387603838748</v>
      </c>
      <c r="G28">
        <f t="shared" si="4"/>
        <v>-0.35577031256889396</v>
      </c>
      <c r="I28" s="4" t="s">
        <v>111</v>
      </c>
      <c r="J28" t="s">
        <v>12</v>
      </c>
      <c r="K28" s="6">
        <v>3.1210354699999998</v>
      </c>
      <c r="L28" s="6">
        <v>4.4628593800000003</v>
      </c>
      <c r="M28" s="6">
        <v>3.34226337</v>
      </c>
      <c r="N28">
        <f t="shared" si="5"/>
        <v>-0.2510937304056397</v>
      </c>
      <c r="O28">
        <f t="shared" si="6"/>
        <v>7.0882853503744431E-2</v>
      </c>
      <c r="Q28" s="4" t="s">
        <v>111</v>
      </c>
      <c r="R28" t="s">
        <v>12</v>
      </c>
      <c r="S28" s="6">
        <v>1481</v>
      </c>
      <c r="T28" s="6">
        <v>1637</v>
      </c>
      <c r="U28" s="6">
        <v>1335</v>
      </c>
      <c r="V28">
        <f t="shared" si="7"/>
        <v>-0.18448381185094687</v>
      </c>
      <c r="W28">
        <f t="shared" si="8"/>
        <v>-9.8582039162727883E-2</v>
      </c>
      <c r="Y28" s="4" t="s">
        <v>111</v>
      </c>
      <c r="Z28" t="s">
        <v>12</v>
      </c>
      <c r="AA28" s="6">
        <v>4646.5</v>
      </c>
      <c r="AB28" s="6">
        <v>3667.5</v>
      </c>
      <c r="AC28" s="6">
        <v>3894.5</v>
      </c>
      <c r="AD28">
        <f t="shared" si="9"/>
        <v>6.1895023858214042E-2</v>
      </c>
      <c r="AE28">
        <f t="shared" si="10"/>
        <v>-0.16184224685246959</v>
      </c>
      <c r="AG28" s="4" t="s">
        <v>111</v>
      </c>
      <c r="AH28" t="s">
        <v>12</v>
      </c>
      <c r="AI28" s="5">
        <v>8.3355297099999994</v>
      </c>
      <c r="AJ28" s="5">
        <v>6.3737306699999996</v>
      </c>
      <c r="AK28" s="5">
        <v>6.9420754200000001</v>
      </c>
      <c r="AL28">
        <f t="shared" si="11"/>
        <v>8.9169872312787973E-2</v>
      </c>
      <c r="AM28">
        <f t="shared" si="12"/>
        <v>-0.16717045448572931</v>
      </c>
      <c r="BE28">
        <v>0</v>
      </c>
      <c r="BF28">
        <v>0</v>
      </c>
      <c r="BG28">
        <v>0</v>
      </c>
      <c r="BH28">
        <v>0</v>
      </c>
      <c r="BM28" s="4"/>
      <c r="BN28" s="5"/>
      <c r="BP28" s="4"/>
      <c r="BQ28" s="5"/>
    </row>
    <row r="29" spans="1:70" x14ac:dyDescent="0.3">
      <c r="BE29">
        <v>0</v>
      </c>
      <c r="BF29">
        <v>0</v>
      </c>
      <c r="BG29">
        <v>0</v>
      </c>
      <c r="BH29">
        <v>0</v>
      </c>
      <c r="BM29" s="4"/>
      <c r="BN29" s="5"/>
      <c r="BP29" s="4"/>
      <c r="BQ29" s="5"/>
    </row>
    <row r="30" spans="1:70" x14ac:dyDescent="0.3">
      <c r="BE30">
        <v>0</v>
      </c>
      <c r="BF30">
        <v>0</v>
      </c>
      <c r="BG30">
        <v>0</v>
      </c>
      <c r="BH30">
        <v>0</v>
      </c>
      <c r="BM30" s="4"/>
      <c r="BN30" s="4"/>
      <c r="BP30" s="4"/>
      <c r="BQ30" s="4"/>
    </row>
    <row r="31" spans="1:70" x14ac:dyDescent="0.3">
      <c r="A31" s="10" t="s">
        <v>53</v>
      </c>
      <c r="B31" t="s">
        <v>42</v>
      </c>
      <c r="D31" s="10" t="s">
        <v>53</v>
      </c>
      <c r="E31" t="s">
        <v>65</v>
      </c>
      <c r="F31" t="s">
        <v>66</v>
      </c>
      <c r="G31" t="s">
        <v>67</v>
      </c>
      <c r="I31" s="10" t="s">
        <v>53</v>
      </c>
      <c r="J31" t="s">
        <v>52</v>
      </c>
      <c r="L31" s="10" t="s">
        <v>53</v>
      </c>
      <c r="M31" t="s">
        <v>65</v>
      </c>
      <c r="N31" t="s">
        <v>66</v>
      </c>
      <c r="O31" t="s">
        <v>67</v>
      </c>
      <c r="Q31" s="10" t="s">
        <v>53</v>
      </c>
      <c r="R31" t="s">
        <v>57</v>
      </c>
      <c r="T31" s="10" t="s">
        <v>53</v>
      </c>
      <c r="U31" t="s">
        <v>65</v>
      </c>
      <c r="V31" t="s">
        <v>66</v>
      </c>
      <c r="W31" t="s">
        <v>67</v>
      </c>
      <c r="Y31" s="10" t="s">
        <v>53</v>
      </c>
      <c r="Z31" t="s">
        <v>58</v>
      </c>
      <c r="AB31" s="10" t="s">
        <v>53</v>
      </c>
      <c r="AC31" t="s">
        <v>65</v>
      </c>
      <c r="AD31" t="s">
        <v>66</v>
      </c>
      <c r="AE31" t="s">
        <v>67</v>
      </c>
      <c r="AG31" s="10" t="s">
        <v>53</v>
      </c>
      <c r="AH31" t="s">
        <v>59</v>
      </c>
      <c r="AJ31" s="10" t="s">
        <v>53</v>
      </c>
      <c r="AK31" t="s">
        <v>65</v>
      </c>
      <c r="AL31" t="s">
        <v>66</v>
      </c>
      <c r="AM31" t="s">
        <v>67</v>
      </c>
      <c r="BE31">
        <v>0</v>
      </c>
      <c r="BF31">
        <v>0</v>
      </c>
      <c r="BG31">
        <v>0</v>
      </c>
      <c r="BH31">
        <v>0</v>
      </c>
      <c r="BM31" s="4"/>
      <c r="BN31" s="5"/>
      <c r="BP31" s="4"/>
      <c r="BQ31" s="5"/>
    </row>
    <row r="32" spans="1:70" x14ac:dyDescent="0.3">
      <c r="A32" s="11" t="s">
        <v>12</v>
      </c>
      <c r="B32" s="13">
        <v>2.3854467900000005</v>
      </c>
      <c r="D32" s="11" t="s">
        <v>12</v>
      </c>
      <c r="E32" s="13">
        <v>2.6310337800000001</v>
      </c>
      <c r="F32" s="13">
        <v>1.8892182300000002</v>
      </c>
      <c r="G32" s="13">
        <v>2.3854467900000005</v>
      </c>
      <c r="I32" s="11" t="s">
        <v>12</v>
      </c>
      <c r="J32" s="13">
        <v>30.804863099999999</v>
      </c>
      <c r="L32" s="11" t="s">
        <v>12</v>
      </c>
      <c r="M32" s="13">
        <v>26.778318690000003</v>
      </c>
      <c r="N32" s="13">
        <v>34.451354729999998</v>
      </c>
      <c r="O32" s="13">
        <v>30.804863099999999</v>
      </c>
      <c r="Q32" s="11" t="s">
        <v>12</v>
      </c>
      <c r="R32">
        <v>14323</v>
      </c>
      <c r="T32" s="11" t="s">
        <v>12</v>
      </c>
      <c r="U32">
        <v>15173</v>
      </c>
      <c r="V32">
        <v>13347</v>
      </c>
      <c r="W32">
        <v>14323</v>
      </c>
      <c r="Y32" s="11" t="s">
        <v>12</v>
      </c>
      <c r="Z32">
        <v>19789.3</v>
      </c>
      <c r="AB32" s="11" t="s">
        <v>12</v>
      </c>
      <c r="AC32">
        <v>25168.2</v>
      </c>
      <c r="AD32">
        <v>17473.400000000001</v>
      </c>
      <c r="AE32">
        <v>19789.3</v>
      </c>
      <c r="AG32" s="11" t="s">
        <v>12</v>
      </c>
      <c r="AH32" s="13">
        <v>35.303665799999997</v>
      </c>
      <c r="AJ32" s="11" t="s">
        <v>12</v>
      </c>
      <c r="AK32" s="13">
        <v>42.823526560000005</v>
      </c>
      <c r="AL32" s="13">
        <v>32.094971039999997</v>
      </c>
      <c r="AM32" s="13">
        <v>35.303665799999997</v>
      </c>
      <c r="BE32">
        <v>0</v>
      </c>
      <c r="BF32">
        <v>0</v>
      </c>
      <c r="BG32">
        <v>0</v>
      </c>
      <c r="BH32">
        <v>0</v>
      </c>
      <c r="BM32" s="4"/>
      <c r="BN32" s="5"/>
      <c r="BP32" s="4"/>
      <c r="BQ32" s="5"/>
    </row>
    <row r="33" spans="1:97" x14ac:dyDescent="0.3">
      <c r="A33" s="12" t="s">
        <v>111</v>
      </c>
      <c r="B33" s="13">
        <v>0.23202244</v>
      </c>
      <c r="D33" s="12" t="s">
        <v>113</v>
      </c>
      <c r="E33" s="13">
        <v>0.96587818000000003</v>
      </c>
      <c r="F33" s="13">
        <v>0.84621851000000003</v>
      </c>
      <c r="G33" s="13">
        <v>0.71205130000000005</v>
      </c>
      <c r="I33" s="12" t="s">
        <v>113</v>
      </c>
      <c r="J33" s="13">
        <v>8.7845693399999991</v>
      </c>
      <c r="L33" s="12" t="s">
        <v>113</v>
      </c>
      <c r="M33" s="13">
        <v>7.7024921300000004</v>
      </c>
      <c r="N33" s="13">
        <v>10.85236171</v>
      </c>
      <c r="O33" s="13">
        <v>8.7845693399999991</v>
      </c>
      <c r="Q33" s="12" t="s">
        <v>113</v>
      </c>
      <c r="R33">
        <v>4097</v>
      </c>
      <c r="T33" s="12" t="s">
        <v>113</v>
      </c>
      <c r="U33">
        <v>6931</v>
      </c>
      <c r="V33">
        <v>3869</v>
      </c>
      <c r="W33">
        <v>4097</v>
      </c>
      <c r="Y33" s="12" t="s">
        <v>113</v>
      </c>
      <c r="Z33">
        <v>4187.3999999999996</v>
      </c>
      <c r="AB33" s="12" t="s">
        <v>113</v>
      </c>
      <c r="AC33">
        <v>5788.7</v>
      </c>
      <c r="AD33">
        <v>3788.5</v>
      </c>
      <c r="AE33">
        <v>4187.3999999999996</v>
      </c>
      <c r="AG33" s="12" t="s">
        <v>113</v>
      </c>
      <c r="AH33" s="13">
        <v>6.2772881199999997</v>
      </c>
      <c r="AJ33" s="12" t="s">
        <v>113</v>
      </c>
      <c r="AK33" s="13">
        <v>7.1121167300000003</v>
      </c>
      <c r="AL33" s="13">
        <v>6.5841479100000004</v>
      </c>
      <c r="AM33" s="13">
        <v>6.2772881199999997</v>
      </c>
      <c r="BE33">
        <v>0</v>
      </c>
      <c r="BF33">
        <v>0</v>
      </c>
      <c r="BG33">
        <v>0</v>
      </c>
      <c r="BH33">
        <v>0</v>
      </c>
      <c r="BM33" s="4"/>
      <c r="BN33" s="5"/>
      <c r="BP33" s="4"/>
      <c r="BQ33" s="5"/>
    </row>
    <row r="34" spans="1:97" x14ac:dyDescent="0.3">
      <c r="A34" s="12" t="s">
        <v>116</v>
      </c>
      <c r="B34" s="13">
        <v>0.26592789999999999</v>
      </c>
      <c r="D34" s="12" t="s">
        <v>114</v>
      </c>
      <c r="E34" s="13">
        <v>0.71727074999999996</v>
      </c>
      <c r="F34" s="13">
        <v>0.34621850999999998</v>
      </c>
      <c r="G34" s="13">
        <v>0.7820513</v>
      </c>
      <c r="I34" s="12" t="s">
        <v>114</v>
      </c>
      <c r="J34" s="13">
        <v>9.7845693399999991</v>
      </c>
      <c r="L34" s="12" t="s">
        <v>114</v>
      </c>
      <c r="M34" s="13">
        <v>8.5832370099999995</v>
      </c>
      <c r="N34" s="13">
        <v>12.85236171</v>
      </c>
      <c r="O34" s="13">
        <v>9.7845693399999991</v>
      </c>
      <c r="Q34" s="12" t="s">
        <v>114</v>
      </c>
      <c r="R34">
        <v>5097</v>
      </c>
      <c r="T34" s="12" t="s">
        <v>114</v>
      </c>
      <c r="U34">
        <v>4084</v>
      </c>
      <c r="V34">
        <v>4469</v>
      </c>
      <c r="W34">
        <v>5097</v>
      </c>
      <c r="Y34" s="12" t="s">
        <v>114</v>
      </c>
      <c r="Z34">
        <v>3187.4</v>
      </c>
      <c r="AB34" s="12" t="s">
        <v>114</v>
      </c>
      <c r="AC34">
        <v>4758.5</v>
      </c>
      <c r="AD34">
        <v>3449.2</v>
      </c>
      <c r="AE34">
        <v>3187.4</v>
      </c>
      <c r="AG34" s="12" t="s">
        <v>114</v>
      </c>
      <c r="AH34" s="13">
        <v>7.2772881199999997</v>
      </c>
      <c r="AJ34" s="12" t="s">
        <v>114</v>
      </c>
      <c r="AK34" s="13">
        <v>8.5566462399999992</v>
      </c>
      <c r="AL34" s="13">
        <v>6.9841479099999999</v>
      </c>
      <c r="AM34" s="13">
        <v>7.2772881199999997</v>
      </c>
      <c r="BE34">
        <v>0</v>
      </c>
      <c r="BF34">
        <v>0</v>
      </c>
      <c r="BG34">
        <v>0</v>
      </c>
      <c r="BH34">
        <v>0</v>
      </c>
      <c r="BM34" s="4"/>
      <c r="BN34" s="5"/>
      <c r="BP34" s="4"/>
      <c r="BQ34" s="5"/>
    </row>
    <row r="35" spans="1:97" x14ac:dyDescent="0.3">
      <c r="A35" s="12" t="s">
        <v>115</v>
      </c>
      <c r="B35" s="13">
        <v>0.39339384999999999</v>
      </c>
      <c r="D35" s="12" t="s">
        <v>115</v>
      </c>
      <c r="E35" s="13">
        <v>0.41686136000000001</v>
      </c>
      <c r="F35" s="13">
        <v>0.25410451000000001</v>
      </c>
      <c r="G35" s="13">
        <v>0.39339384999999999</v>
      </c>
      <c r="I35" s="12" t="s">
        <v>115</v>
      </c>
      <c r="J35" s="13">
        <v>5.2751811200000001</v>
      </c>
      <c r="L35" s="12" t="s">
        <v>115</v>
      </c>
      <c r="M35" s="13">
        <v>4.5154797200000001</v>
      </c>
      <c r="N35" s="13">
        <v>3.89982936</v>
      </c>
      <c r="O35" s="13">
        <v>5.2751811200000001</v>
      </c>
      <c r="Q35" s="12" t="s">
        <v>115</v>
      </c>
      <c r="R35">
        <v>2264</v>
      </c>
      <c r="T35" s="12" t="s">
        <v>115</v>
      </c>
      <c r="U35">
        <v>1704</v>
      </c>
      <c r="V35">
        <v>1462</v>
      </c>
      <c r="W35">
        <v>2264</v>
      </c>
      <c r="Y35" s="12" t="s">
        <v>115</v>
      </c>
      <c r="Z35">
        <v>4291</v>
      </c>
      <c r="AB35" s="12" t="s">
        <v>115</v>
      </c>
      <c r="AC35">
        <v>5732.4</v>
      </c>
      <c r="AD35">
        <v>2749.2</v>
      </c>
      <c r="AE35">
        <v>4291</v>
      </c>
      <c r="AG35" s="12" t="s">
        <v>115</v>
      </c>
      <c r="AH35" s="13">
        <v>7.4574472199999997</v>
      </c>
      <c r="AJ35" s="12" t="s">
        <v>115</v>
      </c>
      <c r="AK35" s="13">
        <v>9.0133177199999999</v>
      </c>
      <c r="AL35" s="13">
        <v>6.51578546</v>
      </c>
      <c r="AM35" s="13">
        <v>7.4574472199999997</v>
      </c>
      <c r="BE35">
        <v>0</v>
      </c>
      <c r="BF35">
        <v>0</v>
      </c>
      <c r="BG35">
        <v>0</v>
      </c>
      <c r="BH35">
        <v>0</v>
      </c>
      <c r="BM35" s="4"/>
      <c r="BN35" s="5"/>
      <c r="BP35" s="4"/>
      <c r="BQ35" s="5"/>
      <c r="BU35" s="11" t="s">
        <v>113</v>
      </c>
      <c r="CA35" s="11" t="s">
        <v>113</v>
      </c>
      <c r="CG35" s="11" t="s">
        <v>113</v>
      </c>
      <c r="CM35" s="11" t="s">
        <v>113</v>
      </c>
      <c r="CS35" s="11" t="s">
        <v>113</v>
      </c>
    </row>
    <row r="36" spans="1:97" x14ac:dyDescent="0.3">
      <c r="A36" s="12" t="s">
        <v>113</v>
      </c>
      <c r="B36" s="13">
        <v>0.71205130000000005</v>
      </c>
      <c r="D36" s="12" t="s">
        <v>116</v>
      </c>
      <c r="E36" s="13">
        <v>0.17086865000000001</v>
      </c>
      <c r="F36" s="13">
        <v>0.15822606</v>
      </c>
      <c r="G36" s="13">
        <v>0.26592789999999999</v>
      </c>
      <c r="I36" s="12" t="s">
        <v>116</v>
      </c>
      <c r="J36" s="13">
        <v>3.6182799299999999</v>
      </c>
      <c r="L36" s="12" t="s">
        <v>116</v>
      </c>
      <c r="M36" s="13">
        <v>2.85607436</v>
      </c>
      <c r="N36" s="13">
        <v>2.3839425699999999</v>
      </c>
      <c r="O36" s="13">
        <v>3.6182799299999999</v>
      </c>
      <c r="Q36" s="12" t="s">
        <v>116</v>
      </c>
      <c r="R36">
        <v>1530</v>
      </c>
      <c r="T36" s="12" t="s">
        <v>116</v>
      </c>
      <c r="U36">
        <v>973</v>
      </c>
      <c r="V36">
        <v>1910</v>
      </c>
      <c r="W36">
        <v>1530</v>
      </c>
      <c r="Y36" s="12" t="s">
        <v>116</v>
      </c>
      <c r="Z36">
        <v>4229</v>
      </c>
      <c r="AB36" s="12" t="s">
        <v>116</v>
      </c>
      <c r="AC36">
        <v>4242.1000000000004</v>
      </c>
      <c r="AD36">
        <v>3819</v>
      </c>
      <c r="AE36">
        <v>4229</v>
      </c>
      <c r="AG36" s="12" t="s">
        <v>116</v>
      </c>
      <c r="AH36" s="13">
        <v>7.34956692</v>
      </c>
      <c r="AJ36" s="12" t="s">
        <v>116</v>
      </c>
      <c r="AK36" s="13">
        <v>9.8059161600000007</v>
      </c>
      <c r="AL36" s="13">
        <v>5.6371590899999999</v>
      </c>
      <c r="AM36" s="13">
        <v>7.34956692</v>
      </c>
      <c r="BE36">
        <v>0</v>
      </c>
      <c r="BF36">
        <v>0</v>
      </c>
      <c r="BG36">
        <v>0</v>
      </c>
      <c r="BH36">
        <v>0</v>
      </c>
      <c r="BM36" s="4"/>
      <c r="BN36" s="5"/>
      <c r="BP36" s="4"/>
      <c r="BQ36" s="5"/>
      <c r="BU36" s="11" t="s">
        <v>114</v>
      </c>
      <c r="CA36" s="11" t="s">
        <v>114</v>
      </c>
      <c r="CG36" s="11" t="s">
        <v>114</v>
      </c>
      <c r="CM36" s="11" t="s">
        <v>114</v>
      </c>
      <c r="CS36" s="11" t="s">
        <v>114</v>
      </c>
    </row>
    <row r="37" spans="1:97" x14ac:dyDescent="0.3">
      <c r="A37" s="12" t="s">
        <v>114</v>
      </c>
      <c r="B37" s="13">
        <v>0.7820513</v>
      </c>
      <c r="D37" s="12" t="s">
        <v>111</v>
      </c>
      <c r="E37" s="13">
        <v>0.36015483999999998</v>
      </c>
      <c r="F37" s="13">
        <v>0.28445063999999998</v>
      </c>
      <c r="G37" s="13">
        <v>0.23202244</v>
      </c>
      <c r="I37" s="12" t="s">
        <v>111</v>
      </c>
      <c r="J37" s="13">
        <v>3.34226337</v>
      </c>
      <c r="L37" s="12" t="s">
        <v>111</v>
      </c>
      <c r="M37" s="13">
        <v>3.1210354699999998</v>
      </c>
      <c r="N37" s="13">
        <v>4.4628593800000003</v>
      </c>
      <c r="O37" s="13">
        <v>3.34226337</v>
      </c>
      <c r="Q37" s="12" t="s">
        <v>111</v>
      </c>
      <c r="R37">
        <v>1335</v>
      </c>
      <c r="T37" s="12" t="s">
        <v>111</v>
      </c>
      <c r="U37">
        <v>1481</v>
      </c>
      <c r="V37">
        <v>1637</v>
      </c>
      <c r="W37">
        <v>1335</v>
      </c>
      <c r="Y37" s="12" t="s">
        <v>111</v>
      </c>
      <c r="Z37">
        <v>3894.5</v>
      </c>
      <c r="AB37" s="12" t="s">
        <v>111</v>
      </c>
      <c r="AC37">
        <v>4646.5</v>
      </c>
      <c r="AD37">
        <v>3667.5</v>
      </c>
      <c r="AE37">
        <v>3894.5</v>
      </c>
      <c r="AG37" s="12" t="s">
        <v>111</v>
      </c>
      <c r="AH37" s="13">
        <v>6.9420754200000001</v>
      </c>
      <c r="AJ37" s="12" t="s">
        <v>111</v>
      </c>
      <c r="AK37" s="13">
        <v>8.3355297099999994</v>
      </c>
      <c r="AL37" s="13">
        <v>6.3737306699999996</v>
      </c>
      <c r="AM37" s="13">
        <v>6.9420754200000001</v>
      </c>
      <c r="BE37">
        <v>0</v>
      </c>
      <c r="BF37">
        <v>0</v>
      </c>
      <c r="BG37">
        <v>0</v>
      </c>
      <c r="BH37">
        <v>0</v>
      </c>
      <c r="BM37" s="4"/>
      <c r="BN37" s="5"/>
      <c r="BP37" s="4"/>
      <c r="BQ37" s="5"/>
      <c r="BU37" s="11" t="s">
        <v>115</v>
      </c>
      <c r="CA37" s="11" t="s">
        <v>115</v>
      </c>
      <c r="CG37" s="11" t="s">
        <v>115</v>
      </c>
      <c r="CM37" s="11" t="s">
        <v>115</v>
      </c>
      <c r="CS37" s="11" t="s">
        <v>115</v>
      </c>
    </row>
    <row r="38" spans="1:97" x14ac:dyDescent="0.3">
      <c r="A38" s="11" t="s">
        <v>10</v>
      </c>
      <c r="B38" s="13">
        <v>1.74448516</v>
      </c>
      <c r="D38" s="11" t="s">
        <v>10</v>
      </c>
      <c r="E38" s="13">
        <v>1.65208127</v>
      </c>
      <c r="F38" s="13">
        <v>2.10263212</v>
      </c>
      <c r="G38" s="13">
        <v>1.74448516</v>
      </c>
      <c r="I38" s="11" t="s">
        <v>10</v>
      </c>
      <c r="J38" s="13">
        <v>31.326091309999999</v>
      </c>
      <c r="L38" s="11" t="s">
        <v>10</v>
      </c>
      <c r="M38" s="13">
        <v>19.809168369999998</v>
      </c>
      <c r="N38" s="13">
        <v>29.314577969999995</v>
      </c>
      <c r="O38" s="13">
        <v>31.326091309999999</v>
      </c>
      <c r="Q38" s="11" t="s">
        <v>10</v>
      </c>
      <c r="R38">
        <v>24350</v>
      </c>
      <c r="T38" s="11" t="s">
        <v>10</v>
      </c>
      <c r="U38">
        <v>16274</v>
      </c>
      <c r="V38">
        <v>18769</v>
      </c>
      <c r="W38">
        <v>24350</v>
      </c>
      <c r="Y38" s="11" t="s">
        <v>10</v>
      </c>
      <c r="Z38">
        <v>34594.200000000004</v>
      </c>
      <c r="AB38" s="11" t="s">
        <v>10</v>
      </c>
      <c r="AC38">
        <v>27385.4</v>
      </c>
      <c r="AD38">
        <v>28885.600000000002</v>
      </c>
      <c r="AE38">
        <v>34594.200000000004</v>
      </c>
      <c r="AG38" s="11" t="s">
        <v>10</v>
      </c>
      <c r="AH38" s="13">
        <v>28.422465070000001</v>
      </c>
      <c r="AJ38" s="11" t="s">
        <v>10</v>
      </c>
      <c r="AK38" s="13">
        <v>31.676650309999999</v>
      </c>
      <c r="AL38" s="13">
        <v>24.96104472</v>
      </c>
      <c r="AM38" s="13">
        <v>28.422465070000001</v>
      </c>
      <c r="BE38">
        <v>0</v>
      </c>
      <c r="BF38">
        <v>0</v>
      </c>
      <c r="BG38">
        <v>0</v>
      </c>
      <c r="BH38">
        <v>0</v>
      </c>
      <c r="BM38" s="4"/>
      <c r="BN38" s="5"/>
      <c r="BP38" s="4"/>
      <c r="BQ38" s="5"/>
      <c r="BU38" s="11" t="s">
        <v>116</v>
      </c>
      <c r="CA38" s="11" t="s">
        <v>116</v>
      </c>
      <c r="CG38" s="11" t="s">
        <v>116</v>
      </c>
      <c r="CM38" s="11" t="s">
        <v>116</v>
      </c>
      <c r="CS38" s="11" t="s">
        <v>116</v>
      </c>
    </row>
    <row r="39" spans="1:97" x14ac:dyDescent="0.3">
      <c r="A39" s="12" t="s">
        <v>116</v>
      </c>
      <c r="B39" s="13">
        <v>0.14217258999999999</v>
      </c>
      <c r="D39" s="12" t="s">
        <v>113</v>
      </c>
      <c r="E39" s="13">
        <v>0.57081146000000005</v>
      </c>
      <c r="F39" s="13">
        <v>0.74136380000000002</v>
      </c>
      <c r="G39" s="13">
        <v>0.50493080999999995</v>
      </c>
      <c r="I39" s="12" t="s">
        <v>113</v>
      </c>
      <c r="J39" s="13">
        <v>8.8351326100000005</v>
      </c>
      <c r="L39" s="12" t="s">
        <v>113</v>
      </c>
      <c r="M39" s="13">
        <v>7.3548413899999998</v>
      </c>
      <c r="N39" s="13">
        <v>10.54852262</v>
      </c>
      <c r="O39" s="13">
        <v>8.8351326100000005</v>
      </c>
      <c r="Q39" s="12" t="s">
        <v>113</v>
      </c>
      <c r="R39">
        <v>6323</v>
      </c>
      <c r="T39" s="12" t="s">
        <v>113</v>
      </c>
      <c r="U39">
        <v>5845</v>
      </c>
      <c r="V39">
        <v>6780</v>
      </c>
      <c r="W39">
        <v>6323</v>
      </c>
      <c r="Y39" s="12" t="s">
        <v>113</v>
      </c>
      <c r="Z39">
        <v>7157.1</v>
      </c>
      <c r="AB39" s="12" t="s">
        <v>113</v>
      </c>
      <c r="AC39">
        <v>5920</v>
      </c>
      <c r="AD39">
        <v>6427.1</v>
      </c>
      <c r="AE39">
        <v>7157.1</v>
      </c>
      <c r="AG39" s="12" t="s">
        <v>113</v>
      </c>
      <c r="AH39" s="13">
        <v>5.71503374</v>
      </c>
      <c r="AJ39" s="12" t="s">
        <v>113</v>
      </c>
      <c r="AK39" s="13">
        <v>6.7013815000000001</v>
      </c>
      <c r="AL39" s="13">
        <v>5.1321290900000003</v>
      </c>
      <c r="AM39" s="13">
        <v>5.71503374</v>
      </c>
      <c r="BE39">
        <v>0</v>
      </c>
      <c r="BF39">
        <v>0</v>
      </c>
      <c r="BG39">
        <v>0</v>
      </c>
      <c r="BH39">
        <v>0</v>
      </c>
      <c r="BM39" s="4"/>
      <c r="BN39" s="5"/>
      <c r="BP39" s="4"/>
      <c r="BQ39" s="5"/>
      <c r="BU39" s="11" t="s">
        <v>111</v>
      </c>
      <c r="CA39" s="11" t="s">
        <v>111</v>
      </c>
      <c r="CG39" s="11" t="s">
        <v>111</v>
      </c>
      <c r="CM39" s="11" t="s">
        <v>111</v>
      </c>
      <c r="CS39" s="11" t="s">
        <v>111</v>
      </c>
    </row>
    <row r="40" spans="1:97" x14ac:dyDescent="0.3">
      <c r="A40" s="12" t="s">
        <v>115</v>
      </c>
      <c r="B40" s="13">
        <v>0.30405300000000002</v>
      </c>
      <c r="D40" s="12" t="s">
        <v>114</v>
      </c>
      <c r="E40" s="13">
        <v>9.5535610000000007E-2</v>
      </c>
      <c r="F40" s="13">
        <v>0.64136380000000004</v>
      </c>
      <c r="G40" s="13">
        <v>0.30493081</v>
      </c>
      <c r="I40" s="12" t="s">
        <v>114</v>
      </c>
      <c r="J40" s="13">
        <v>6.8351326099999996</v>
      </c>
      <c r="L40" s="12" t="s">
        <v>114</v>
      </c>
      <c r="M40" s="13">
        <v>2.7045372599999999</v>
      </c>
      <c r="N40" s="13">
        <v>4.2719157299999999</v>
      </c>
      <c r="O40" s="13">
        <v>6.8351326099999996</v>
      </c>
      <c r="Q40" s="12" t="s">
        <v>114</v>
      </c>
      <c r="R40">
        <v>6323</v>
      </c>
      <c r="T40" s="12" t="s">
        <v>114</v>
      </c>
      <c r="U40">
        <v>2182</v>
      </c>
      <c r="V40">
        <v>2973</v>
      </c>
      <c r="W40">
        <v>6323</v>
      </c>
      <c r="Y40" s="12" t="s">
        <v>114</v>
      </c>
      <c r="Z40">
        <v>7157.1</v>
      </c>
      <c r="AB40" s="12" t="s">
        <v>114</v>
      </c>
      <c r="AC40">
        <v>6034.4</v>
      </c>
      <c r="AD40">
        <v>6475.2</v>
      </c>
      <c r="AE40">
        <v>7157.1</v>
      </c>
      <c r="AG40" s="12" t="s">
        <v>114</v>
      </c>
      <c r="AH40" s="13">
        <v>5.71503374</v>
      </c>
      <c r="AJ40" s="12" t="s">
        <v>114</v>
      </c>
      <c r="AK40" s="13">
        <v>5.6047827100000003</v>
      </c>
      <c r="AL40" s="13">
        <v>5.17051602</v>
      </c>
      <c r="AM40" s="13">
        <v>5.71503374</v>
      </c>
      <c r="BE40">
        <v>0</v>
      </c>
      <c r="BF40">
        <v>0</v>
      </c>
      <c r="BG40">
        <v>0</v>
      </c>
      <c r="BH40">
        <v>0</v>
      </c>
      <c r="BM40" s="4"/>
      <c r="BN40" s="5"/>
      <c r="BP40" s="4"/>
      <c r="BQ40" s="5"/>
    </row>
    <row r="41" spans="1:97" x14ac:dyDescent="0.3">
      <c r="A41" s="12" t="s">
        <v>114</v>
      </c>
      <c r="B41" s="13">
        <v>0.30493081</v>
      </c>
      <c r="D41" s="12" t="s">
        <v>115</v>
      </c>
      <c r="E41" s="13">
        <v>0.40148105000000001</v>
      </c>
      <c r="F41" s="13">
        <v>0.22139713999999999</v>
      </c>
      <c r="G41" s="13">
        <v>0.30405300000000002</v>
      </c>
      <c r="I41" s="12" t="s">
        <v>115</v>
      </c>
      <c r="J41" s="13">
        <v>5.2566730899999996</v>
      </c>
      <c r="L41" s="12" t="s">
        <v>115</v>
      </c>
      <c r="M41" s="13">
        <v>3.0832557299999999</v>
      </c>
      <c r="N41" s="13">
        <v>4.2819157299999997</v>
      </c>
      <c r="O41" s="13">
        <v>5.2566730899999996</v>
      </c>
      <c r="Q41" s="12" t="s">
        <v>115</v>
      </c>
      <c r="R41">
        <v>3808</v>
      </c>
      <c r="T41" s="12" t="s">
        <v>115</v>
      </c>
      <c r="U41">
        <v>2593</v>
      </c>
      <c r="V41">
        <v>2773</v>
      </c>
      <c r="W41">
        <v>3808</v>
      </c>
      <c r="Y41" s="12" t="s">
        <v>115</v>
      </c>
      <c r="Z41">
        <v>7243.6</v>
      </c>
      <c r="AB41" s="12" t="s">
        <v>115</v>
      </c>
      <c r="AC41">
        <v>4084.9</v>
      </c>
      <c r="AD41">
        <v>3475.2</v>
      </c>
      <c r="AE41">
        <v>7243.6</v>
      </c>
      <c r="AG41" s="12" t="s">
        <v>115</v>
      </c>
      <c r="AH41" s="13">
        <v>5.7841337499999996</v>
      </c>
      <c r="AJ41" s="12" t="s">
        <v>115</v>
      </c>
      <c r="AK41" s="13">
        <v>6.93468515</v>
      </c>
      <c r="AL41" s="13">
        <v>5.67051602</v>
      </c>
      <c r="AM41" s="13">
        <v>5.7841337499999996</v>
      </c>
      <c r="BE41">
        <v>0</v>
      </c>
      <c r="BF41">
        <v>0</v>
      </c>
      <c r="BG41">
        <v>0</v>
      </c>
      <c r="BH41">
        <v>0</v>
      </c>
      <c r="BM41" s="4"/>
      <c r="BN41" s="5"/>
      <c r="BP41" s="4"/>
      <c r="BQ41" s="5"/>
    </row>
    <row r="42" spans="1:97" x14ac:dyDescent="0.3">
      <c r="A42" s="12" t="s">
        <v>111</v>
      </c>
      <c r="B42" s="13">
        <v>0.48839795000000003</v>
      </c>
      <c r="D42" s="12" t="s">
        <v>116</v>
      </c>
      <c r="E42" s="13">
        <v>0.32913764000000001</v>
      </c>
      <c r="F42" s="13">
        <v>0.10202774000000001</v>
      </c>
      <c r="G42" s="13">
        <v>0.14217258999999999</v>
      </c>
      <c r="I42" s="12" t="s">
        <v>116</v>
      </c>
      <c r="J42" s="13">
        <v>2.4801975000000001</v>
      </c>
      <c r="L42" s="12" t="s">
        <v>116</v>
      </c>
      <c r="M42" s="13">
        <v>1.98272318</v>
      </c>
      <c r="N42" s="13">
        <v>1.9707520199999999</v>
      </c>
      <c r="O42" s="13">
        <v>2.4801975000000001</v>
      </c>
      <c r="Q42" s="12" t="s">
        <v>116</v>
      </c>
      <c r="R42">
        <v>1780</v>
      </c>
      <c r="T42" s="12" t="s">
        <v>116</v>
      </c>
      <c r="U42">
        <v>2598</v>
      </c>
      <c r="V42">
        <v>1278</v>
      </c>
      <c r="W42">
        <v>1780</v>
      </c>
      <c r="Y42" s="12" t="s">
        <v>116</v>
      </c>
      <c r="Z42">
        <v>6178.7</v>
      </c>
      <c r="AB42" s="12" t="s">
        <v>116</v>
      </c>
      <c r="AC42">
        <v>4017.9</v>
      </c>
      <c r="AD42">
        <v>6483.4</v>
      </c>
      <c r="AE42">
        <v>6178.7</v>
      </c>
      <c r="AG42" s="12" t="s">
        <v>116</v>
      </c>
      <c r="AH42" s="13">
        <v>5.7323092500000001</v>
      </c>
      <c r="AJ42" s="12" t="s">
        <v>116</v>
      </c>
      <c r="AK42" s="13">
        <v>6.4804606900000001</v>
      </c>
      <c r="AL42" s="13">
        <v>4.1770967499999996</v>
      </c>
      <c r="AM42" s="13">
        <v>5.7323092500000001</v>
      </c>
      <c r="BE42">
        <v>0</v>
      </c>
      <c r="BF42">
        <v>0</v>
      </c>
      <c r="BG42">
        <v>0</v>
      </c>
      <c r="BH42">
        <v>0</v>
      </c>
      <c r="BM42" s="4"/>
      <c r="BN42" s="5"/>
      <c r="BP42" s="4"/>
      <c r="BQ42" s="5"/>
    </row>
    <row r="43" spans="1:97" x14ac:dyDescent="0.3">
      <c r="A43" s="12" t="s">
        <v>113</v>
      </c>
      <c r="B43" s="13">
        <v>0.50493080999999995</v>
      </c>
      <c r="D43" s="12" t="s">
        <v>111</v>
      </c>
      <c r="E43" s="13">
        <v>0.25511550999999999</v>
      </c>
      <c r="F43" s="13">
        <v>0.39647964000000002</v>
      </c>
      <c r="G43" s="13">
        <v>0.48839795000000003</v>
      </c>
      <c r="I43" s="12" t="s">
        <v>111</v>
      </c>
      <c r="J43" s="13">
        <v>7.9189555</v>
      </c>
      <c r="L43" s="12" t="s">
        <v>111</v>
      </c>
      <c r="M43" s="13">
        <v>4.6838108099999998</v>
      </c>
      <c r="N43" s="13">
        <v>8.2414718699999998</v>
      </c>
      <c r="O43" s="13">
        <v>7.9189555</v>
      </c>
      <c r="Q43" s="12" t="s">
        <v>111</v>
      </c>
      <c r="R43">
        <v>6116</v>
      </c>
      <c r="T43" s="12" t="s">
        <v>111</v>
      </c>
      <c r="U43">
        <v>3056</v>
      </c>
      <c r="V43">
        <v>4965</v>
      </c>
      <c r="W43">
        <v>6116</v>
      </c>
      <c r="Y43" s="12" t="s">
        <v>111</v>
      </c>
      <c r="Z43">
        <v>6857.7</v>
      </c>
      <c r="AB43" s="12" t="s">
        <v>111</v>
      </c>
      <c r="AC43">
        <v>7328.2</v>
      </c>
      <c r="AD43">
        <v>6024.7</v>
      </c>
      <c r="AE43">
        <v>6857.7</v>
      </c>
      <c r="AG43" s="12" t="s">
        <v>111</v>
      </c>
      <c r="AH43" s="13">
        <v>5.4759545899999997</v>
      </c>
      <c r="AJ43" s="12" t="s">
        <v>111</v>
      </c>
      <c r="AK43" s="13">
        <v>5.9553402599999998</v>
      </c>
      <c r="AL43" s="13">
        <v>4.8107868399999996</v>
      </c>
      <c r="AM43" s="13">
        <v>5.4759545899999997</v>
      </c>
      <c r="BE43">
        <v>0</v>
      </c>
      <c r="BF43">
        <v>0</v>
      </c>
      <c r="BG43">
        <v>0</v>
      </c>
      <c r="BH43">
        <v>0</v>
      </c>
      <c r="BM43" s="4"/>
      <c r="BN43" s="5"/>
      <c r="BP43" s="4"/>
      <c r="BQ43" s="5"/>
    </row>
    <row r="44" spans="1:97" x14ac:dyDescent="0.3">
      <c r="A44" s="11" t="s">
        <v>11</v>
      </c>
      <c r="B44" s="13">
        <v>2.93630338</v>
      </c>
      <c r="D44" s="11" t="s">
        <v>11</v>
      </c>
      <c r="E44" s="13">
        <v>2.6305388299999999</v>
      </c>
      <c r="F44" s="13">
        <v>1.5948442800000002</v>
      </c>
      <c r="G44" s="13">
        <v>2.93630338</v>
      </c>
      <c r="I44" s="11" t="s">
        <v>11</v>
      </c>
      <c r="J44" s="13">
        <v>36.253867529999994</v>
      </c>
      <c r="L44" s="11" t="s">
        <v>11</v>
      </c>
      <c r="M44" s="13">
        <v>21.831526519999997</v>
      </c>
      <c r="N44" s="13">
        <v>28.144085489999998</v>
      </c>
      <c r="O44" s="13">
        <v>36.253867529999994</v>
      </c>
      <c r="Q44" s="11" t="s">
        <v>11</v>
      </c>
      <c r="R44">
        <v>28372</v>
      </c>
      <c r="T44" s="11" t="s">
        <v>11</v>
      </c>
      <c r="U44">
        <v>20841</v>
      </c>
      <c r="V44">
        <v>22693</v>
      </c>
      <c r="W44">
        <v>28372</v>
      </c>
      <c r="Y44" s="11" t="s">
        <v>11</v>
      </c>
      <c r="Z44">
        <v>36529.899999999994</v>
      </c>
      <c r="AB44" s="11" t="s">
        <v>11</v>
      </c>
      <c r="AC44">
        <v>41011.600000000006</v>
      </c>
      <c r="AD44">
        <v>36741.599999999999</v>
      </c>
      <c r="AE44">
        <v>36529.899999999994</v>
      </c>
      <c r="AG44" s="11" t="s">
        <v>11</v>
      </c>
      <c r="AH44" s="13">
        <v>34.039798260000005</v>
      </c>
      <c r="AJ44" s="11" t="s">
        <v>11</v>
      </c>
      <c r="AK44" s="13">
        <v>40.592447419999999</v>
      </c>
      <c r="AL44" s="13">
        <v>29.652299550000002</v>
      </c>
      <c r="AM44" s="13">
        <v>34.039798260000005</v>
      </c>
      <c r="BE44">
        <v>0</v>
      </c>
      <c r="BF44">
        <v>0</v>
      </c>
      <c r="BG44">
        <v>0</v>
      </c>
      <c r="BH44">
        <v>0</v>
      </c>
      <c r="BM44" s="4"/>
      <c r="BN44" s="5"/>
      <c r="BP44" s="4"/>
      <c r="BQ44" s="5"/>
    </row>
    <row r="45" spans="1:97" x14ac:dyDescent="0.3">
      <c r="A45" s="12" t="s">
        <v>116</v>
      </c>
      <c r="B45" s="13">
        <v>0.23006673</v>
      </c>
      <c r="D45" s="12" t="s">
        <v>113</v>
      </c>
      <c r="E45" s="13">
        <v>0.75744663999999995</v>
      </c>
      <c r="F45" s="13">
        <v>0.70454112000000002</v>
      </c>
      <c r="G45" s="13">
        <v>0.61800136999999999</v>
      </c>
      <c r="I45" s="12" t="s">
        <v>113</v>
      </c>
      <c r="J45" s="13">
        <v>9.0100543099999992</v>
      </c>
      <c r="L45" s="12" t="s">
        <v>113</v>
      </c>
      <c r="M45" s="13">
        <v>6.1082646499999997</v>
      </c>
      <c r="N45" s="13">
        <v>7.98717875</v>
      </c>
      <c r="O45" s="13">
        <v>9.0100543099999992</v>
      </c>
      <c r="Q45" s="12" t="s">
        <v>113</v>
      </c>
      <c r="R45">
        <v>7070</v>
      </c>
      <c r="T45" s="12" t="s">
        <v>113</v>
      </c>
      <c r="U45">
        <v>7569</v>
      </c>
      <c r="V45">
        <v>8061</v>
      </c>
      <c r="W45">
        <v>7070</v>
      </c>
      <c r="Y45" s="12" t="s">
        <v>113</v>
      </c>
      <c r="Z45">
        <v>6547.3</v>
      </c>
      <c r="AB45" s="12" t="s">
        <v>113</v>
      </c>
      <c r="AC45">
        <v>6408.4</v>
      </c>
      <c r="AD45">
        <v>7336.3</v>
      </c>
      <c r="AE45">
        <v>6547.3</v>
      </c>
      <c r="AG45" s="12" t="s">
        <v>113</v>
      </c>
      <c r="AH45" s="13">
        <v>6.8590193700000004</v>
      </c>
      <c r="AJ45" s="12" t="s">
        <v>113</v>
      </c>
      <c r="AK45" s="13">
        <v>8.5160368000000002</v>
      </c>
      <c r="AL45" s="13">
        <v>6.4123933900000001</v>
      </c>
      <c r="AM45" s="13">
        <v>6.8590193700000004</v>
      </c>
      <c r="BE45">
        <v>0</v>
      </c>
      <c r="BF45">
        <v>0</v>
      </c>
      <c r="BG45">
        <v>0</v>
      </c>
      <c r="BH45">
        <v>0</v>
      </c>
      <c r="BM45" s="4"/>
      <c r="BN45" s="5"/>
      <c r="BP45" s="4"/>
      <c r="BQ45" s="5"/>
    </row>
    <row r="46" spans="1:97" x14ac:dyDescent="0.3">
      <c r="A46" s="12" t="s">
        <v>111</v>
      </c>
      <c r="B46" s="13">
        <v>0.52787552000000004</v>
      </c>
      <c r="D46" s="12" t="s">
        <v>114</v>
      </c>
      <c r="E46" s="13">
        <v>0.47674144000000002</v>
      </c>
      <c r="F46" s="13">
        <v>0</v>
      </c>
      <c r="G46" s="13">
        <v>0.61800136999999999</v>
      </c>
      <c r="I46" s="12" t="s">
        <v>114</v>
      </c>
      <c r="J46" s="13">
        <v>9.3100543099999999</v>
      </c>
      <c r="L46" s="12" t="s">
        <v>114</v>
      </c>
      <c r="M46" s="13">
        <v>6.0175905099999998</v>
      </c>
      <c r="N46" s="13">
        <v>5.98717875</v>
      </c>
      <c r="O46" s="13">
        <v>9.3100543099999999</v>
      </c>
      <c r="Q46" s="12" t="s">
        <v>114</v>
      </c>
      <c r="R46">
        <v>7570</v>
      </c>
      <c r="T46" s="12" t="s">
        <v>114</v>
      </c>
      <c r="U46">
        <v>5394</v>
      </c>
      <c r="V46">
        <v>4447</v>
      </c>
      <c r="W46">
        <v>7570</v>
      </c>
      <c r="Y46" s="12" t="s">
        <v>114</v>
      </c>
      <c r="Z46">
        <v>7847.3</v>
      </c>
      <c r="AB46" s="12" t="s">
        <v>114</v>
      </c>
      <c r="AC46">
        <v>8963.2000000000007</v>
      </c>
      <c r="AD46">
        <v>7936.3</v>
      </c>
      <c r="AE46">
        <v>7847.3</v>
      </c>
      <c r="AG46" s="12" t="s">
        <v>114</v>
      </c>
      <c r="AH46" s="13">
        <v>6.8590193700000004</v>
      </c>
      <c r="AJ46" s="12" t="s">
        <v>114</v>
      </c>
      <c r="AK46" s="13">
        <v>7.9224638900000004</v>
      </c>
      <c r="AL46" s="13">
        <v>5.4123933900000001</v>
      </c>
      <c r="AM46" s="13">
        <v>6.8590193700000004</v>
      </c>
      <c r="BE46">
        <v>0</v>
      </c>
      <c r="BF46">
        <v>0</v>
      </c>
      <c r="BG46">
        <v>0</v>
      </c>
      <c r="BH46">
        <v>0</v>
      </c>
      <c r="BM46" s="4"/>
      <c r="BN46" s="4"/>
      <c r="BP46" s="4"/>
      <c r="BQ46" s="4"/>
    </row>
    <row r="47" spans="1:97" x14ac:dyDescent="0.3">
      <c r="A47" s="12" t="s">
        <v>114</v>
      </c>
      <c r="B47" s="13">
        <v>0.61800136999999999</v>
      </c>
      <c r="D47" s="12" t="s">
        <v>115</v>
      </c>
      <c r="E47" s="13">
        <v>0.33948771</v>
      </c>
      <c r="F47" s="13">
        <v>0.30129939</v>
      </c>
      <c r="G47" s="13">
        <v>0.94235838999999999</v>
      </c>
      <c r="I47" s="12" t="s">
        <v>115</v>
      </c>
      <c r="J47" s="13">
        <v>6.4265469499999996</v>
      </c>
      <c r="L47" s="12" t="s">
        <v>115</v>
      </c>
      <c r="M47" s="13">
        <v>3.8707528600000001</v>
      </c>
      <c r="N47" s="13">
        <v>4.6679623799999996</v>
      </c>
      <c r="O47" s="13">
        <v>6.4265469499999996</v>
      </c>
      <c r="Q47" s="12" t="s">
        <v>115</v>
      </c>
      <c r="R47">
        <v>5061</v>
      </c>
      <c r="T47" s="12" t="s">
        <v>115</v>
      </c>
      <c r="U47">
        <v>2709</v>
      </c>
      <c r="V47">
        <v>3447</v>
      </c>
      <c r="W47">
        <v>5061</v>
      </c>
      <c r="Y47" s="12" t="s">
        <v>115</v>
      </c>
      <c r="Z47">
        <v>6875</v>
      </c>
      <c r="AB47" s="12" t="s">
        <v>115</v>
      </c>
      <c r="AC47">
        <v>7438.2</v>
      </c>
      <c r="AD47">
        <v>7284.6</v>
      </c>
      <c r="AE47">
        <v>6875</v>
      </c>
      <c r="AG47" s="12" t="s">
        <v>115</v>
      </c>
      <c r="AH47" s="13">
        <v>6.8832981699999998</v>
      </c>
      <c r="AJ47" s="12" t="s">
        <v>115</v>
      </c>
      <c r="AK47" s="13">
        <v>8.3423312599999999</v>
      </c>
      <c r="AL47" s="13">
        <v>6.2546232899999996</v>
      </c>
      <c r="AM47" s="13">
        <v>6.8832981699999998</v>
      </c>
      <c r="BE47">
        <v>0</v>
      </c>
      <c r="BF47">
        <v>0</v>
      </c>
      <c r="BG47">
        <v>0</v>
      </c>
      <c r="BH47">
        <v>0</v>
      </c>
      <c r="BM47" s="4"/>
      <c r="BN47" s="5"/>
      <c r="BP47" s="4"/>
      <c r="BQ47" s="5"/>
    </row>
    <row r="48" spans="1:97" x14ac:dyDescent="0.3">
      <c r="A48" s="12" t="s">
        <v>113</v>
      </c>
      <c r="B48" s="13">
        <v>0.61800136999999999</v>
      </c>
      <c r="D48" s="12" t="s">
        <v>116</v>
      </c>
      <c r="E48" s="13">
        <v>0.56701124000000003</v>
      </c>
      <c r="F48" s="13">
        <v>0.15140795000000001</v>
      </c>
      <c r="G48" s="13">
        <v>0.23006673</v>
      </c>
      <c r="I48" s="12" t="s">
        <v>116</v>
      </c>
      <c r="J48" s="13">
        <v>3.3503788999999999</v>
      </c>
      <c r="L48" s="12" t="s">
        <v>116</v>
      </c>
      <c r="M48" s="13">
        <v>1.9987191799999999</v>
      </c>
      <c r="N48" s="13">
        <v>2.3440395399999998</v>
      </c>
      <c r="O48" s="13">
        <v>3.3503788999999999</v>
      </c>
      <c r="Q48" s="12" t="s">
        <v>116</v>
      </c>
      <c r="R48">
        <v>2632</v>
      </c>
      <c r="T48" s="12" t="s">
        <v>116</v>
      </c>
      <c r="U48">
        <v>1890</v>
      </c>
      <c r="V48">
        <v>1732</v>
      </c>
      <c r="W48">
        <v>2632</v>
      </c>
      <c r="Y48" s="12" t="s">
        <v>116</v>
      </c>
      <c r="Z48">
        <v>7856.3</v>
      </c>
      <c r="AB48" s="12" t="s">
        <v>116</v>
      </c>
      <c r="AC48">
        <v>9653.6</v>
      </c>
      <c r="AD48">
        <v>7389.9</v>
      </c>
      <c r="AE48">
        <v>7856.3</v>
      </c>
      <c r="AG48" s="12" t="s">
        <v>116</v>
      </c>
      <c r="AH48" s="13">
        <v>6.8668869499999996</v>
      </c>
      <c r="AJ48" s="12" t="s">
        <v>116</v>
      </c>
      <c r="AK48" s="13">
        <v>8.2559130700000001</v>
      </c>
      <c r="AL48" s="13">
        <v>6.4592744099999999</v>
      </c>
      <c r="AM48" s="13">
        <v>6.8668869499999996</v>
      </c>
      <c r="BE48">
        <v>0</v>
      </c>
      <c r="BF48">
        <v>0</v>
      </c>
      <c r="BG48">
        <v>0</v>
      </c>
      <c r="BH48">
        <v>0</v>
      </c>
      <c r="BM48" s="4"/>
      <c r="BN48" s="5"/>
      <c r="BP48" s="4"/>
      <c r="BQ48" s="5"/>
    </row>
    <row r="49" spans="1:69" x14ac:dyDescent="0.3">
      <c r="A49" s="12" t="s">
        <v>115</v>
      </c>
      <c r="B49" s="13">
        <v>0.94235838999999999</v>
      </c>
      <c r="D49" s="12" t="s">
        <v>111</v>
      </c>
      <c r="E49" s="13">
        <v>0.4898518</v>
      </c>
      <c r="F49" s="13">
        <v>0.43759582000000002</v>
      </c>
      <c r="G49" s="13">
        <v>0.52787552000000004</v>
      </c>
      <c r="I49" s="12" t="s">
        <v>111</v>
      </c>
      <c r="J49" s="13">
        <v>8.1568330600000003</v>
      </c>
      <c r="L49" s="12" t="s">
        <v>111</v>
      </c>
      <c r="M49" s="13">
        <v>3.83619932</v>
      </c>
      <c r="N49" s="13">
        <v>7.1577260699999998</v>
      </c>
      <c r="O49" s="13">
        <v>8.1568330600000003</v>
      </c>
      <c r="Q49" s="12" t="s">
        <v>111</v>
      </c>
      <c r="R49">
        <v>6039</v>
      </c>
      <c r="T49" s="12" t="s">
        <v>111</v>
      </c>
      <c r="U49">
        <v>3279</v>
      </c>
      <c r="V49">
        <v>5006</v>
      </c>
      <c r="W49">
        <v>6039</v>
      </c>
      <c r="Y49" s="12" t="s">
        <v>111</v>
      </c>
      <c r="Z49">
        <v>7404</v>
      </c>
      <c r="AB49" s="12" t="s">
        <v>111</v>
      </c>
      <c r="AC49">
        <v>8548.2000000000007</v>
      </c>
      <c r="AD49">
        <v>6794.5</v>
      </c>
      <c r="AE49">
        <v>7404</v>
      </c>
      <c r="AG49" s="12" t="s">
        <v>111</v>
      </c>
      <c r="AH49" s="13">
        <v>6.5715744000000003</v>
      </c>
      <c r="AJ49" s="12" t="s">
        <v>111</v>
      </c>
      <c r="AK49" s="13">
        <v>7.5557024000000004</v>
      </c>
      <c r="AL49" s="13">
        <v>5.1136150699999998</v>
      </c>
      <c r="AM49" s="13">
        <v>6.5715744000000003</v>
      </c>
      <c r="BE49">
        <v>0</v>
      </c>
      <c r="BF49">
        <v>0</v>
      </c>
      <c r="BG49">
        <v>0</v>
      </c>
      <c r="BH49">
        <v>0</v>
      </c>
      <c r="BM49" s="4"/>
      <c r="BN49" s="5"/>
      <c r="BP49" s="4"/>
      <c r="BQ49" s="5"/>
    </row>
    <row r="50" spans="1:69" x14ac:dyDescent="0.3">
      <c r="A50" s="11" t="s">
        <v>54</v>
      </c>
      <c r="B50" s="13">
        <v>7.0662353300000005</v>
      </c>
      <c r="D50" s="11" t="s">
        <v>54</v>
      </c>
      <c r="E50" s="13">
        <v>6.9136538800000009</v>
      </c>
      <c r="F50" s="13">
        <v>5.5866946300000002</v>
      </c>
      <c r="G50" s="13">
        <v>7.0662353300000005</v>
      </c>
      <c r="I50" s="11" t="s">
        <v>54</v>
      </c>
      <c r="J50" s="13">
        <v>98.384821939999995</v>
      </c>
      <c r="L50" s="11" t="s">
        <v>54</v>
      </c>
      <c r="M50" s="13">
        <v>68.419013580000012</v>
      </c>
      <c r="N50" s="13">
        <v>91.910018189999988</v>
      </c>
      <c r="O50" s="13">
        <v>98.384821939999995</v>
      </c>
      <c r="Q50" s="11" t="s">
        <v>54</v>
      </c>
      <c r="R50">
        <v>67045</v>
      </c>
      <c r="T50" s="11" t="s">
        <v>54</v>
      </c>
      <c r="U50">
        <v>52288</v>
      </c>
      <c r="V50">
        <v>54809</v>
      </c>
      <c r="W50">
        <v>67045</v>
      </c>
      <c r="Y50" s="11" t="s">
        <v>54</v>
      </c>
      <c r="Z50">
        <v>90913.4</v>
      </c>
      <c r="AB50" s="11" t="s">
        <v>54</v>
      </c>
      <c r="AC50">
        <v>93565.2</v>
      </c>
      <c r="AD50">
        <v>83100.600000000006</v>
      </c>
      <c r="AE50">
        <v>90913.4</v>
      </c>
      <c r="AG50" s="11" t="s">
        <v>54</v>
      </c>
      <c r="AH50" s="13">
        <v>97.765929130000004</v>
      </c>
      <c r="AJ50" s="11" t="s">
        <v>54</v>
      </c>
      <c r="AK50" s="13">
        <v>115.09262429</v>
      </c>
      <c r="AL50" s="13">
        <v>86.708315309999989</v>
      </c>
      <c r="AM50" s="13">
        <v>97.765929130000004</v>
      </c>
      <c r="BE50">
        <v>0</v>
      </c>
      <c r="BF50">
        <v>0</v>
      </c>
      <c r="BG50">
        <v>0</v>
      </c>
      <c r="BH50">
        <v>0</v>
      </c>
      <c r="BM50" s="4"/>
      <c r="BN50" s="5"/>
      <c r="BP50" s="4"/>
      <c r="BQ50" s="5"/>
    </row>
    <row r="51" spans="1:69" x14ac:dyDescent="0.3">
      <c r="BE51">
        <v>0</v>
      </c>
      <c r="BF51">
        <v>0</v>
      </c>
      <c r="BG51">
        <v>0</v>
      </c>
      <c r="BH51">
        <v>0</v>
      </c>
    </row>
    <row r="52" spans="1:69" x14ac:dyDescent="0.3">
      <c r="BE52">
        <v>0</v>
      </c>
      <c r="BF52">
        <v>0</v>
      </c>
      <c r="BG52">
        <v>0</v>
      </c>
      <c r="BH52">
        <v>0</v>
      </c>
    </row>
    <row r="53" spans="1:69" x14ac:dyDescent="0.3">
      <c r="D53" s="10" t="s">
        <v>53</v>
      </c>
      <c r="L53" s="10" t="s">
        <v>53</v>
      </c>
      <c r="T53" s="10" t="s">
        <v>53</v>
      </c>
      <c r="AB53" s="10" t="s">
        <v>53</v>
      </c>
      <c r="AJ53" s="10" t="s">
        <v>53</v>
      </c>
      <c r="BE53">
        <v>0</v>
      </c>
      <c r="BF53">
        <v>0</v>
      </c>
      <c r="BG53">
        <v>0</v>
      </c>
      <c r="BH53">
        <v>0</v>
      </c>
    </row>
    <row r="54" spans="1:69" x14ac:dyDescent="0.3">
      <c r="D54" s="11" t="s">
        <v>12</v>
      </c>
      <c r="L54" s="11" t="s">
        <v>12</v>
      </c>
      <c r="T54" s="11" t="s">
        <v>12</v>
      </c>
      <c r="AB54" s="11" t="s">
        <v>12</v>
      </c>
      <c r="AJ54" s="11" t="s">
        <v>12</v>
      </c>
      <c r="BE54">
        <v>0</v>
      </c>
      <c r="BF54">
        <v>0</v>
      </c>
      <c r="BG54">
        <v>0</v>
      </c>
      <c r="BH54">
        <v>0</v>
      </c>
    </row>
    <row r="55" spans="1:69" x14ac:dyDescent="0.3">
      <c r="D55" s="11" t="s">
        <v>10</v>
      </c>
      <c r="E55">
        <f>COUNTA(D54:D57)</f>
        <v>4</v>
      </c>
      <c r="L55" s="11" t="s">
        <v>10</v>
      </c>
      <c r="M55">
        <f>COUNTA(L54:L57)</f>
        <v>4</v>
      </c>
      <c r="T55" s="11" t="s">
        <v>10</v>
      </c>
      <c r="U55">
        <f>COUNTA(T54:T57)</f>
        <v>4</v>
      </c>
      <c r="AB55" s="11" t="s">
        <v>10</v>
      </c>
      <c r="AC55">
        <f>COUNTA(AB54:AB57)</f>
        <v>4</v>
      </c>
      <c r="AJ55" s="11" t="s">
        <v>10</v>
      </c>
      <c r="AK55">
        <f>COUNTA(AJ54:AJ57)</f>
        <v>4</v>
      </c>
      <c r="BE55">
        <v>0</v>
      </c>
      <c r="BF55">
        <v>0</v>
      </c>
      <c r="BG55">
        <v>0</v>
      </c>
      <c r="BH55">
        <v>0</v>
      </c>
    </row>
    <row r="56" spans="1:69" x14ac:dyDescent="0.3">
      <c r="D56" s="11" t="s">
        <v>11</v>
      </c>
      <c r="E56" t="str">
        <f>IF(E55=2,D54,"P25-54")</f>
        <v>P25-54</v>
      </c>
      <c r="F56">
        <f>ROW()</f>
        <v>56</v>
      </c>
      <c r="L56" s="11" t="s">
        <v>11</v>
      </c>
      <c r="M56" t="str">
        <f>IF(M55=2,L54,"P25-54")</f>
        <v>P25-54</v>
      </c>
      <c r="N56">
        <f>ROW()</f>
        <v>56</v>
      </c>
      <c r="T56" s="11" t="s">
        <v>11</v>
      </c>
      <c r="U56" t="str">
        <f>IF(U55=2,T54,"P25-54")</f>
        <v>P25-54</v>
      </c>
      <c r="V56">
        <f>ROW()</f>
        <v>56</v>
      </c>
      <c r="AB56" s="11" t="s">
        <v>11</v>
      </c>
      <c r="AC56" t="str">
        <f>IF(AC55=2,AB54,"P25-54")</f>
        <v>P25-54</v>
      </c>
      <c r="AD56">
        <f>ROW()</f>
        <v>56</v>
      </c>
      <c r="AJ56" s="11" t="s">
        <v>11</v>
      </c>
      <c r="AK56" t="str">
        <f>IF(AK55=2,AJ54,"P25-54")</f>
        <v>P25-54</v>
      </c>
      <c r="AL56">
        <f>ROW()</f>
        <v>56</v>
      </c>
      <c r="BE56">
        <v>0</v>
      </c>
      <c r="BF56">
        <v>0</v>
      </c>
      <c r="BG56">
        <v>0</v>
      </c>
      <c r="BH56">
        <v>0</v>
      </c>
    </row>
    <row r="57" spans="1:69" x14ac:dyDescent="0.3">
      <c r="D57" s="11" t="s">
        <v>54</v>
      </c>
      <c r="L57" s="11" t="s">
        <v>54</v>
      </c>
      <c r="T57" s="11" t="s">
        <v>54</v>
      </c>
      <c r="AB57" s="11" t="s">
        <v>54</v>
      </c>
      <c r="AJ57" s="11" t="s">
        <v>54</v>
      </c>
      <c r="BE57">
        <v>0</v>
      </c>
      <c r="BF57">
        <v>0</v>
      </c>
      <c r="BG57">
        <v>0</v>
      </c>
      <c r="BH57">
        <v>0</v>
      </c>
    </row>
    <row r="58" spans="1:69" x14ac:dyDescent="0.3">
      <c r="BE58">
        <v>0</v>
      </c>
      <c r="BF58">
        <v>0</v>
      </c>
      <c r="BG58">
        <v>0</v>
      </c>
      <c r="BH58">
        <v>0</v>
      </c>
    </row>
    <row r="59" spans="1:69" x14ac:dyDescent="0.3">
      <c r="BE59">
        <v>0</v>
      </c>
      <c r="BF59">
        <v>0</v>
      </c>
      <c r="BG59">
        <v>0</v>
      </c>
      <c r="BH59">
        <v>0</v>
      </c>
    </row>
  </sheetData>
  <sortState xmlns:xlrd2="http://schemas.microsoft.com/office/spreadsheetml/2017/richdata2" ref="BP3:BQ7">
    <sortCondition descending="1" ref="BQ3"/>
  </sortState>
  <mergeCells count="31">
    <mergeCell ref="AU2:AY2"/>
    <mergeCell ref="V1:AJ1"/>
    <mergeCell ref="AK1:AY1"/>
    <mergeCell ref="G2:K2"/>
    <mergeCell ref="L2:P2"/>
    <mergeCell ref="Q2:U2"/>
    <mergeCell ref="V2:Z2"/>
    <mergeCell ref="AA2:AE2"/>
    <mergeCell ref="AF2:AJ2"/>
    <mergeCell ref="AK2:AO2"/>
    <mergeCell ref="AP2:AT2"/>
    <mergeCell ref="G1:U1"/>
    <mergeCell ref="A1:A3"/>
    <mergeCell ref="B1:B3"/>
    <mergeCell ref="C1:C3"/>
    <mergeCell ref="D1:D3"/>
    <mergeCell ref="E1:E3"/>
    <mergeCell ref="CN1:CO1"/>
    <mergeCell ref="CQ1:CR1"/>
    <mergeCell ref="CT1:CU1"/>
    <mergeCell ref="BF7:BG7"/>
    <mergeCell ref="BY1:BZ1"/>
    <mergeCell ref="CB1:CC1"/>
    <mergeCell ref="CE1:CF1"/>
    <mergeCell ref="CH1:CI1"/>
    <mergeCell ref="CK1:CL1"/>
    <mergeCell ref="BJ1:BK1"/>
    <mergeCell ref="BM1:BN1"/>
    <mergeCell ref="BP1:BQ1"/>
    <mergeCell ref="BS1:BT1"/>
    <mergeCell ref="BV1:BW1"/>
  </mergeCells>
  <phoneticPr fontId="4" type="noConversion"/>
  <pageMargins left="0.7" right="0.7" top="0.75" bottom="0.75" header="0.3" footer="0.3"/>
  <tableParts count="5">
    <tablePart r:id="rId21"/>
    <tablePart r:id="rId22"/>
    <tablePart r:id="rId23"/>
    <tablePart r:id="rId24"/>
    <tablePart r:id="rId2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1276B-EF24-42C0-A5AF-03266DC5BFEA}">
  <sheetPr codeName="Sheet4"/>
  <dimension ref="A1:CU92"/>
  <sheetViews>
    <sheetView workbookViewId="0">
      <selection activeCell="BU35" sqref="BU35"/>
    </sheetView>
  </sheetViews>
  <sheetFormatPr defaultRowHeight="14.4" x14ac:dyDescent="0.3"/>
  <cols>
    <col min="1" max="1" width="18.33203125" bestFit="1" customWidth="1"/>
    <col min="2" max="2" width="6.5546875" bestFit="1" customWidth="1"/>
    <col min="4" max="4" width="18.33203125" bestFit="1" customWidth="1"/>
    <col min="5" max="5" width="8.88671875" bestFit="1" customWidth="1"/>
    <col min="6" max="6" width="10.88671875" bestFit="1" customWidth="1"/>
    <col min="7" max="7" width="7.6640625" bestFit="1" customWidth="1"/>
    <col min="9" max="9" width="18.33203125" bestFit="1" customWidth="1"/>
    <col min="10" max="10" width="6.5546875" bestFit="1" customWidth="1"/>
    <col min="12" max="12" width="13.109375" bestFit="1" customWidth="1"/>
    <col min="13" max="13" width="8.88671875" bestFit="1" customWidth="1"/>
    <col min="14" max="14" width="10.88671875" bestFit="1" customWidth="1"/>
    <col min="15" max="15" width="7.6640625" bestFit="1" customWidth="1"/>
    <col min="17" max="17" width="18.33203125" bestFit="1" customWidth="1"/>
    <col min="18" max="18" width="7" bestFit="1" customWidth="1"/>
    <col min="20" max="20" width="13.109375" bestFit="1" customWidth="1"/>
    <col min="21" max="21" width="8.88671875" bestFit="1" customWidth="1"/>
    <col min="22" max="22" width="10.88671875" bestFit="1" customWidth="1"/>
    <col min="23" max="23" width="7.6640625" bestFit="1" customWidth="1"/>
    <col min="25" max="25" width="18.33203125" bestFit="1" customWidth="1"/>
    <col min="26" max="26" width="9" bestFit="1" customWidth="1"/>
    <col min="28" max="28" width="13.109375" bestFit="1" customWidth="1"/>
    <col min="29" max="29" width="9" bestFit="1" customWidth="1"/>
    <col min="30" max="30" width="10.88671875" bestFit="1" customWidth="1"/>
    <col min="31" max="31" width="9" bestFit="1" customWidth="1"/>
    <col min="33" max="33" width="18.33203125" bestFit="1" customWidth="1"/>
    <col min="34" max="34" width="6.5546875" bestFit="1" customWidth="1"/>
    <col min="36" max="36" width="13.109375" bestFit="1" customWidth="1"/>
    <col min="37" max="37" width="8.88671875" bestFit="1" customWidth="1"/>
    <col min="38" max="38" width="10.88671875" bestFit="1" customWidth="1"/>
    <col min="39" max="39" width="7.6640625" bestFit="1" customWidth="1"/>
    <col min="57" max="57" width="16.109375" customWidth="1"/>
    <col min="58" max="59" width="22.33203125" bestFit="1" customWidth="1"/>
    <col min="60" max="60" width="11" bestFit="1" customWidth="1"/>
    <col min="61" max="61" width="15" customWidth="1"/>
    <col min="62" max="62" width="19.44140625" customWidth="1"/>
    <col min="63" max="63" width="12" customWidth="1"/>
    <col min="64" max="64" width="13.88671875" customWidth="1"/>
    <col min="65" max="65" width="14" customWidth="1"/>
    <col min="66" max="66" width="11" bestFit="1" customWidth="1"/>
    <col min="67" max="67" width="16.5546875" customWidth="1"/>
    <col min="68" max="68" width="14.6640625" customWidth="1"/>
    <col min="69" max="69" width="8.44140625" bestFit="1" customWidth="1"/>
    <col min="70" max="70" width="14.33203125" customWidth="1"/>
    <col min="71" max="71" width="16" bestFit="1" customWidth="1"/>
    <col min="72" max="72" width="11" bestFit="1" customWidth="1"/>
    <col min="73" max="73" width="14.5546875" bestFit="1" customWidth="1"/>
    <col min="74" max="74" width="11" bestFit="1" customWidth="1"/>
    <col min="75" max="75" width="8.44140625" bestFit="1" customWidth="1"/>
    <col min="76" max="76" width="16.33203125" customWidth="1"/>
    <col min="77" max="77" width="16" bestFit="1" customWidth="1"/>
    <col min="78" max="78" width="9" bestFit="1" customWidth="1"/>
    <col min="79" max="79" width="14.5546875" bestFit="1" customWidth="1"/>
    <col min="80" max="80" width="11" bestFit="1" customWidth="1"/>
    <col min="81" max="81" width="8.44140625" bestFit="1" customWidth="1"/>
    <col min="82" max="82" width="11" bestFit="1" customWidth="1"/>
    <col min="83" max="83" width="16" bestFit="1" customWidth="1"/>
    <col min="84" max="84" width="11" bestFit="1" customWidth="1"/>
    <col min="85" max="85" width="14.5546875" bestFit="1" customWidth="1"/>
    <col min="86" max="86" width="10" bestFit="1" customWidth="1"/>
    <col min="87" max="87" width="8.44140625" bestFit="1" customWidth="1"/>
    <col min="88" max="88" width="10" bestFit="1" customWidth="1"/>
    <col min="89" max="89" width="16" bestFit="1" customWidth="1"/>
    <col min="90" max="90" width="11" bestFit="1" customWidth="1"/>
    <col min="91" max="91" width="14.5546875" bestFit="1" customWidth="1"/>
    <col min="92" max="92" width="10" bestFit="1" customWidth="1"/>
    <col min="93" max="93" width="8.44140625" bestFit="1" customWidth="1"/>
    <col min="94" max="94" width="11" bestFit="1" customWidth="1"/>
    <col min="95" max="95" width="16" bestFit="1" customWidth="1"/>
    <col min="96" max="96" width="11" bestFit="1" customWidth="1"/>
    <col min="97" max="97" width="14.5546875" bestFit="1" customWidth="1"/>
    <col min="98" max="98" width="11" bestFit="1" customWidth="1"/>
    <col min="99" max="99" width="8.44140625" bestFit="1" customWidth="1"/>
    <col min="101" max="101" width="16" bestFit="1" customWidth="1"/>
    <col min="103" max="103" width="16" bestFit="1" customWidth="1"/>
    <col min="105" max="105" width="16" bestFit="1" customWidth="1"/>
    <col min="107" max="107" width="16" bestFit="1" customWidth="1"/>
    <col min="110" max="110" width="16" bestFit="1" customWidth="1"/>
  </cols>
  <sheetData>
    <row r="1" spans="1:99" ht="15" thickBot="1" x14ac:dyDescent="0.35">
      <c r="A1" s="53" t="s">
        <v>0</v>
      </c>
      <c r="B1" s="53" t="s">
        <v>1</v>
      </c>
      <c r="C1" s="54" t="s">
        <v>2</v>
      </c>
      <c r="D1" s="54" t="s">
        <v>3</v>
      </c>
      <c r="E1" s="54" t="s">
        <v>4</v>
      </c>
      <c r="F1" s="2" t="s">
        <v>5</v>
      </c>
      <c r="G1" s="52" t="s">
        <v>6</v>
      </c>
      <c r="H1" s="52"/>
      <c r="I1" s="52"/>
      <c r="J1" s="52"/>
      <c r="K1" s="52"/>
      <c r="L1" s="52"/>
      <c r="M1" s="52"/>
      <c r="N1" s="52"/>
      <c r="O1" s="52"/>
      <c r="P1" s="52"/>
      <c r="Q1" s="52"/>
      <c r="R1" s="52"/>
      <c r="S1" s="52"/>
      <c r="T1" s="52"/>
      <c r="U1" s="52"/>
      <c r="V1" s="52" t="s">
        <v>7</v>
      </c>
      <c r="W1" s="52"/>
      <c r="X1" s="52"/>
      <c r="Y1" s="52"/>
      <c r="Z1" s="52"/>
      <c r="AA1" s="52"/>
      <c r="AB1" s="52"/>
      <c r="AC1" s="52"/>
      <c r="AD1" s="52"/>
      <c r="AE1" s="52"/>
      <c r="AF1" s="52"/>
      <c r="AG1" s="52"/>
      <c r="AH1" s="52"/>
      <c r="AI1" s="52"/>
      <c r="AJ1" s="52"/>
      <c r="AK1" s="52" t="s">
        <v>8</v>
      </c>
      <c r="AL1" s="52"/>
      <c r="AM1" s="52"/>
      <c r="AN1" s="52"/>
      <c r="AO1" s="52"/>
      <c r="AP1" s="52"/>
      <c r="AQ1" s="52"/>
      <c r="AR1" s="52"/>
      <c r="AS1" s="52"/>
      <c r="AT1" s="52"/>
      <c r="AU1" s="52"/>
      <c r="AV1" s="52"/>
      <c r="AW1" s="52"/>
      <c r="AX1" s="52"/>
      <c r="AY1" s="52"/>
      <c r="BE1" s="37" t="s">
        <v>69</v>
      </c>
      <c r="BF1" s="38" t="str">
        <f>_xlfn.CONCAT(BG4,BG2,BH1,BG3)</f>
        <v>='Midday Programs'!E91</v>
      </c>
      <c r="BG1" t="s">
        <v>48</v>
      </c>
      <c r="BH1" s="21" t="s">
        <v>74</v>
      </c>
      <c r="BJ1" s="51" t="s">
        <v>80</v>
      </c>
      <c r="BK1" s="51"/>
      <c r="BM1" s="51" t="s">
        <v>81</v>
      </c>
      <c r="BN1" s="51"/>
      <c r="BP1" s="51" t="s">
        <v>82</v>
      </c>
      <c r="BQ1" s="51"/>
      <c r="BS1" s="51" t="s">
        <v>83</v>
      </c>
      <c r="BT1" s="51"/>
      <c r="BV1" s="51" t="s">
        <v>83</v>
      </c>
      <c r="BW1" s="51"/>
      <c r="BY1" s="51" t="s">
        <v>55</v>
      </c>
      <c r="BZ1" s="51"/>
      <c r="CB1" s="51" t="s">
        <v>55</v>
      </c>
      <c r="CC1" s="51"/>
      <c r="CE1" s="51" t="s">
        <v>84</v>
      </c>
      <c r="CF1" s="51"/>
      <c r="CH1" s="51" t="s">
        <v>84</v>
      </c>
      <c r="CI1" s="51"/>
      <c r="CK1" s="51" t="s">
        <v>85</v>
      </c>
      <c r="CL1" s="51"/>
      <c r="CN1" s="51" t="s">
        <v>85</v>
      </c>
      <c r="CO1" s="51"/>
      <c r="CQ1" s="51" t="s">
        <v>44</v>
      </c>
      <c r="CR1" s="51"/>
      <c r="CT1" s="51" t="s">
        <v>44</v>
      </c>
      <c r="CU1" s="51"/>
    </row>
    <row r="2" spans="1:99" ht="15" thickBot="1" x14ac:dyDescent="0.35">
      <c r="A2" s="53" t="s">
        <v>0</v>
      </c>
      <c r="B2" s="53" t="s">
        <v>1</v>
      </c>
      <c r="C2" s="54"/>
      <c r="D2" s="54"/>
      <c r="E2" s="54"/>
      <c r="F2" s="1" t="s">
        <v>9</v>
      </c>
      <c r="G2" s="52" t="s">
        <v>10</v>
      </c>
      <c r="H2" s="52"/>
      <c r="I2" s="52"/>
      <c r="J2" s="52"/>
      <c r="K2" s="52"/>
      <c r="L2" s="52" t="s">
        <v>11</v>
      </c>
      <c r="M2" s="52"/>
      <c r="N2" s="52"/>
      <c r="O2" s="52"/>
      <c r="P2" s="52"/>
      <c r="Q2" s="52" t="s">
        <v>12</v>
      </c>
      <c r="R2" s="52"/>
      <c r="S2" s="52"/>
      <c r="T2" s="52"/>
      <c r="U2" s="52"/>
      <c r="V2" s="52" t="s">
        <v>10</v>
      </c>
      <c r="W2" s="52"/>
      <c r="X2" s="52"/>
      <c r="Y2" s="52"/>
      <c r="Z2" s="52"/>
      <c r="AA2" s="52" t="s">
        <v>11</v>
      </c>
      <c r="AB2" s="52"/>
      <c r="AC2" s="52"/>
      <c r="AD2" s="52"/>
      <c r="AE2" s="52"/>
      <c r="AF2" s="52" t="s">
        <v>12</v>
      </c>
      <c r="AG2" s="52"/>
      <c r="AH2" s="52"/>
      <c r="AI2" s="52"/>
      <c r="AJ2" s="52"/>
      <c r="AK2" s="52" t="s">
        <v>10</v>
      </c>
      <c r="AL2" s="52"/>
      <c r="AM2" s="52"/>
      <c r="AN2" s="52"/>
      <c r="AO2" s="52"/>
      <c r="AP2" s="52" t="s">
        <v>11</v>
      </c>
      <c r="AQ2" s="52"/>
      <c r="AR2" s="52"/>
      <c r="AS2" s="52"/>
      <c r="AT2" s="52"/>
      <c r="AU2" s="52" t="s">
        <v>12</v>
      </c>
      <c r="AV2" s="52"/>
      <c r="AW2" s="52"/>
      <c r="AX2" s="52"/>
      <c r="AY2" s="52"/>
      <c r="BE2" s="37" t="s">
        <v>70</v>
      </c>
      <c r="BF2" s="39" t="str">
        <f>_xlfn.CONCAT(BG4,BG2,BH2,BG3)</f>
        <v>='Midday Programs'!M91</v>
      </c>
      <c r="BG2" t="str">
        <f>'Ratings Dashboard'!A2</f>
        <v>Midday Programs</v>
      </c>
      <c r="BH2" s="21" t="s">
        <v>75</v>
      </c>
      <c r="BJ2" s="22" t="s">
        <v>41</v>
      </c>
      <c r="BK2" s="22" t="s">
        <v>60</v>
      </c>
      <c r="BM2" s="22" t="s">
        <v>41</v>
      </c>
      <c r="BN2" s="22" t="s">
        <v>60</v>
      </c>
      <c r="BP2" s="22" t="s">
        <v>41</v>
      </c>
      <c r="BQ2" s="22" t="s">
        <v>60</v>
      </c>
      <c r="BS2" s="22" t="s">
        <v>41</v>
      </c>
      <c r="BT2" s="22" t="s">
        <v>49</v>
      </c>
      <c r="BV2" s="22" t="s">
        <v>41</v>
      </c>
      <c r="BW2" s="22" t="s">
        <v>50</v>
      </c>
      <c r="BY2" s="22" t="s">
        <v>41</v>
      </c>
      <c r="BZ2" s="22" t="s">
        <v>49</v>
      </c>
      <c r="CB2" s="22" t="s">
        <v>41</v>
      </c>
      <c r="CC2" s="22" t="s">
        <v>50</v>
      </c>
      <c r="CE2" s="22" t="s">
        <v>41</v>
      </c>
      <c r="CF2" s="22" t="s">
        <v>49</v>
      </c>
      <c r="CH2" s="22" t="s">
        <v>41</v>
      </c>
      <c r="CI2" s="22" t="s">
        <v>50</v>
      </c>
      <c r="CK2" s="22" t="s">
        <v>41</v>
      </c>
      <c r="CL2" s="22" t="s">
        <v>49</v>
      </c>
      <c r="CN2" s="22" t="s">
        <v>41</v>
      </c>
      <c r="CO2" s="22" t="s">
        <v>50</v>
      </c>
      <c r="CQ2" s="22" t="s">
        <v>41</v>
      </c>
      <c r="CR2" s="22" t="s">
        <v>49</v>
      </c>
      <c r="CT2" s="22" t="s">
        <v>41</v>
      </c>
      <c r="CU2" s="22" t="s">
        <v>50</v>
      </c>
    </row>
    <row r="3" spans="1:99" ht="31.2" thickBot="1" x14ac:dyDescent="0.35">
      <c r="A3" s="53" t="s">
        <v>0</v>
      </c>
      <c r="B3" s="53" t="s">
        <v>1</v>
      </c>
      <c r="C3" s="54"/>
      <c r="D3" s="54"/>
      <c r="E3" s="54"/>
      <c r="F3" s="1" t="s">
        <v>13</v>
      </c>
      <c r="G3" s="3" t="s">
        <v>14</v>
      </c>
      <c r="H3" s="3" t="s">
        <v>15</v>
      </c>
      <c r="I3" s="3" t="s">
        <v>16</v>
      </c>
      <c r="J3" s="3" t="s">
        <v>17</v>
      </c>
      <c r="K3" s="3" t="s">
        <v>18</v>
      </c>
      <c r="L3" s="3" t="s">
        <v>14</v>
      </c>
      <c r="M3" s="3" t="s">
        <v>15</v>
      </c>
      <c r="N3" s="3" t="s">
        <v>16</v>
      </c>
      <c r="O3" s="3" t="s">
        <v>17</v>
      </c>
      <c r="P3" s="3" t="s">
        <v>18</v>
      </c>
      <c r="Q3" s="3" t="s">
        <v>14</v>
      </c>
      <c r="R3" s="3" t="s">
        <v>15</v>
      </c>
      <c r="S3" s="3" t="s">
        <v>16</v>
      </c>
      <c r="T3" s="3" t="s">
        <v>17</v>
      </c>
      <c r="U3" s="3" t="s">
        <v>18</v>
      </c>
      <c r="V3" s="3" t="s">
        <v>14</v>
      </c>
      <c r="W3" s="3" t="s">
        <v>15</v>
      </c>
      <c r="X3" s="3" t="s">
        <v>16</v>
      </c>
      <c r="Y3" s="3" t="s">
        <v>17</v>
      </c>
      <c r="Z3" s="3" t="s">
        <v>18</v>
      </c>
      <c r="AA3" s="3" t="s">
        <v>14</v>
      </c>
      <c r="AB3" s="3" t="s">
        <v>15</v>
      </c>
      <c r="AC3" s="3" t="s">
        <v>16</v>
      </c>
      <c r="AD3" s="3" t="s">
        <v>17</v>
      </c>
      <c r="AE3" s="3" t="s">
        <v>18</v>
      </c>
      <c r="AF3" s="3" t="s">
        <v>14</v>
      </c>
      <c r="AG3" s="3" t="s">
        <v>15</v>
      </c>
      <c r="AH3" s="3" t="s">
        <v>16</v>
      </c>
      <c r="AI3" s="3" t="s">
        <v>17</v>
      </c>
      <c r="AJ3" s="3" t="s">
        <v>18</v>
      </c>
      <c r="AK3" s="3" t="s">
        <v>14</v>
      </c>
      <c r="AL3" s="3" t="s">
        <v>15</v>
      </c>
      <c r="AM3" s="3" t="s">
        <v>16</v>
      </c>
      <c r="AN3" s="3" t="s">
        <v>17</v>
      </c>
      <c r="AO3" s="3" t="s">
        <v>18</v>
      </c>
      <c r="AP3" s="3" t="s">
        <v>14</v>
      </c>
      <c r="AQ3" s="3" t="s">
        <v>15</v>
      </c>
      <c r="AR3" s="3" t="s">
        <v>16</v>
      </c>
      <c r="AS3" s="3" t="s">
        <v>17</v>
      </c>
      <c r="AT3" s="3" t="s">
        <v>18</v>
      </c>
      <c r="AU3" s="3" t="s">
        <v>14</v>
      </c>
      <c r="AV3" s="3" t="s">
        <v>15</v>
      </c>
      <c r="AW3" s="3" t="s">
        <v>16</v>
      </c>
      <c r="AX3" s="3" t="s">
        <v>17</v>
      </c>
      <c r="AY3" s="3" t="s">
        <v>18</v>
      </c>
      <c r="BE3" s="37" t="s">
        <v>71</v>
      </c>
      <c r="BF3" s="38" t="str">
        <f>_xlfn.CONCAT(BG4,BG2,BH3,BG3)</f>
        <v>='Midday Programs'!U91</v>
      </c>
      <c r="BG3">
        <v>91</v>
      </c>
      <c r="BH3" s="21" t="s">
        <v>76</v>
      </c>
      <c r="BJ3" s="4" t="s">
        <v>118</v>
      </c>
      <c r="BK3" s="5">
        <v>1.4885348700000001</v>
      </c>
      <c r="BL3">
        <f>IF(BK3="","",BK3)</f>
        <v>1.4885348700000001</v>
      </c>
      <c r="BM3" s="4" t="s">
        <v>118</v>
      </c>
      <c r="BN3" s="5">
        <v>1.1552457</v>
      </c>
      <c r="BO3">
        <f>IF(BN3="","",BN3)</f>
        <v>1.1552457</v>
      </c>
      <c r="BP3" s="4" t="s">
        <v>118</v>
      </c>
      <c r="BQ3" s="5">
        <v>1.72960951</v>
      </c>
      <c r="BR3">
        <f>IF(BQ3="","",BQ3)</f>
        <v>1.72960951</v>
      </c>
      <c r="BS3" t="str" cm="1">
        <f t="array" ref="BS3:BT12">IFERROR(_xlfn._xlws.SORT(_xlfn.CHOOSECOLS(_xlfn._xlws.FILTER(EV_RTG[],EV_RTG[DEMO]=BF15,""),1,6),2,-1),"")</f>
        <v>ST4 - Program 1</v>
      </c>
      <c r="BT3">
        <v>2.1276478521911382</v>
      </c>
      <c r="BV3" t="str" cm="1">
        <f t="array" ref="BV3:BW12">IFERROR(_xlfn._xlws.SORT(_xlfn.CHOOSECOLS(_xlfn._xlws.FILTER(EV_RTG[],EV_RTG[DEMO]=BF15,""),1,7),2,-1),"")</f>
        <v xml:space="preserve">ST1-Program 2 </v>
      </c>
      <c r="BW3">
        <v>2.0225641054381303</v>
      </c>
      <c r="BY3" t="str" cm="1">
        <f t="array" ref="BY3:BZ12">IFERROR(_xlfn._xlws.SORT(_xlfn.CHOOSECOLS(_xlfn._xlws.FILTER(EV_SHARE[],EV_SHARE[DEMO]=BF15,""),1,6),2,-1),"")</f>
        <v>ST3-Program 2</v>
      </c>
      <c r="BZ3">
        <v>2.9066432599050769</v>
      </c>
      <c r="CB3" t="str" cm="1">
        <f t="array" ref="CB3:CC12">IFERROR(_xlfn._xlws.SORT(_xlfn.CHOOSECOLS(_xlfn._xlws.FILTER(EV_SHARE[],EV_SHARE[DEMO]=BF15,""),1,7),2,-1),"")</f>
        <v>ST3-Program 2</v>
      </c>
      <c r="CC3">
        <v>3.5253724778027311</v>
      </c>
      <c r="CE3" t="str" cm="1">
        <f t="array" ref="CE3:CF12">IFERROR(_xlfn._xlws.SORT(_xlfn.CHOOSECOLS(_xlfn._xlws.FILTER(EV_IMP[],EV_IMP[DEMO]=BF15,""),1,6),2,-1),"")</f>
        <v>ST4 - Program 2</v>
      </c>
      <c r="CF3">
        <v>0.51963048498845266</v>
      </c>
      <c r="CH3" t="str" cm="1">
        <f t="array" ref="CH3:CI12">IFERROR(_xlfn._xlws.SORT(_xlfn.CHOOSECOLS(_xlfn._xlws.FILTER(EV_IMP[],EV_IMP[DEMO]=BF15,""),1,7),2,-1),"")</f>
        <v>ST3-Program 1</v>
      </c>
      <c r="CI3">
        <v>5.0048780487804878</v>
      </c>
      <c r="CK3" t="str" cm="1">
        <f t="array" ref="CK3:CL12">IFERROR(_xlfn._xlws.SORT(_xlfn.CHOOSECOLS(_xlfn._xlws.FILTER(EV_HP_IMP[],EV_HP_IMP[DEMO]=BF15,""),1,6),2,-1),"")</f>
        <v>ST2-Program 1</v>
      </c>
      <c r="CL3">
        <v>0.10155813303521502</v>
      </c>
      <c r="CN3" t="str" cm="1">
        <f t="array" ref="CN3:CO12">IFERROR(_xlfn._xlws.SORT(_xlfn.CHOOSECOLS(_xlfn._xlws.FILTER(EV_HP_IMP[],EV_HP_IMP[DEMO]=BF15,""),1,7),2,-1),"")</f>
        <v xml:space="preserve">ST1-Program 2 </v>
      </c>
      <c r="CO3">
        <v>2.3670667628271169</v>
      </c>
      <c r="CQ3" t="str" cm="1">
        <f t="array" ref="CQ3:CR12">IFERROR(_xlfn._xlws.SORT(_xlfn.CHOOSECOLS(_xlfn._xlws.FILTER(EV_HP_PCT[],EV_HP_PCT[DEMO]=BF15,""),1,6),2,-1),"")</f>
        <v>ST2-Program 1</v>
      </c>
      <c r="CR3">
        <v>0.1015646311775914</v>
      </c>
      <c r="CT3" t="str" cm="1">
        <f t="array" ref="CT3:CU12">IFERROR(_xlfn._xlws.SORT(_xlfn.CHOOSECOLS(_xlfn._xlws.FILTER(EV_HP_PCT[],EV_HP_PCT[DEMO]=BF15,""),1,7),2,-1),"")</f>
        <v xml:space="preserve">ST1-Program 2 </v>
      </c>
      <c r="CU3">
        <v>2.3296405916110623</v>
      </c>
    </row>
    <row r="4" spans="1:99" ht="21" thickBot="1" x14ac:dyDescent="0.35">
      <c r="A4" s="4" t="s">
        <v>89</v>
      </c>
      <c r="B4" s="4" t="s">
        <v>93</v>
      </c>
      <c r="C4" s="4" t="s">
        <v>117</v>
      </c>
      <c r="D4" s="4" t="s">
        <v>26</v>
      </c>
      <c r="E4" s="4" t="s">
        <v>27</v>
      </c>
      <c r="F4" s="4"/>
      <c r="G4" s="5">
        <v>0.47074286999999998</v>
      </c>
      <c r="H4" s="6">
        <v>8.0908352000000008</v>
      </c>
      <c r="I4" s="6">
        <v>5587</v>
      </c>
      <c r="J4" s="6">
        <v>5968.9</v>
      </c>
      <c r="K4" s="5">
        <v>4.2284795500000003</v>
      </c>
      <c r="L4" s="5">
        <v>0.86191302999999997</v>
      </c>
      <c r="M4" s="6">
        <v>12.08404801</v>
      </c>
      <c r="N4" s="6">
        <v>8620</v>
      </c>
      <c r="O4" s="6">
        <v>7776.9</v>
      </c>
      <c r="P4" s="5">
        <v>6.8739600000000003</v>
      </c>
      <c r="Q4" s="5">
        <v>1.51279268</v>
      </c>
      <c r="R4" s="6">
        <v>12.40592584</v>
      </c>
      <c r="S4" s="6">
        <v>8614</v>
      </c>
      <c r="T4" s="6">
        <v>6943.7</v>
      </c>
      <c r="U4" s="5">
        <v>12.19411356</v>
      </c>
      <c r="V4" s="5">
        <v>0.93863563000000005</v>
      </c>
      <c r="W4" s="6">
        <v>12.257626719999999</v>
      </c>
      <c r="X4" s="6">
        <v>11755</v>
      </c>
      <c r="Y4" s="6">
        <v>9589.7999999999993</v>
      </c>
      <c r="Z4" s="5">
        <v>7.6575641699999997</v>
      </c>
      <c r="AA4" s="5">
        <v>1.2581200800000001</v>
      </c>
      <c r="AB4" s="6">
        <v>12.947980490000001</v>
      </c>
      <c r="AC4" s="6">
        <v>14394</v>
      </c>
      <c r="AD4" s="6">
        <v>11116.7</v>
      </c>
      <c r="AE4" s="5">
        <v>9.7167282299999993</v>
      </c>
      <c r="AF4" s="5">
        <v>1.4568962999999999</v>
      </c>
      <c r="AG4" s="6">
        <v>14.631044149999999</v>
      </c>
      <c r="AH4" s="6">
        <v>8383</v>
      </c>
      <c r="AI4" s="6">
        <v>5729.6</v>
      </c>
      <c r="AJ4" s="5">
        <v>9.9575688699999994</v>
      </c>
      <c r="AK4" s="5">
        <v>0.64755843000000002</v>
      </c>
      <c r="AL4" s="6">
        <v>8.4686743100000008</v>
      </c>
      <c r="AM4" s="6">
        <v>8110</v>
      </c>
      <c r="AN4" s="6">
        <v>9576</v>
      </c>
      <c r="AO4" s="5">
        <v>7.6465147800000004</v>
      </c>
      <c r="AP4" s="5">
        <v>0.88537233000000004</v>
      </c>
      <c r="AQ4" s="6">
        <v>9.0526544399999995</v>
      </c>
      <c r="AR4" s="6">
        <v>10129</v>
      </c>
      <c r="AS4" s="6">
        <v>11189.4</v>
      </c>
      <c r="AT4" s="5">
        <v>9.7802509999999998</v>
      </c>
      <c r="AU4" s="5">
        <v>0.98892862999999998</v>
      </c>
      <c r="AV4" s="6">
        <v>10.12366984</v>
      </c>
      <c r="AW4" s="6">
        <v>5690</v>
      </c>
      <c r="AX4" s="6">
        <v>5620.8</v>
      </c>
      <c r="AY4" s="5">
        <v>9.7684796600000006</v>
      </c>
      <c r="BE4" s="37" t="s">
        <v>72</v>
      </c>
      <c r="BF4" s="38" t="str">
        <f>_xlfn.CONCAT(BG4,BG2,BH4,BG3)</f>
        <v>='Midday Programs'!AC91</v>
      </c>
      <c r="BG4" s="21" t="s">
        <v>79</v>
      </c>
      <c r="BH4" s="21" t="s">
        <v>77</v>
      </c>
      <c r="BJ4" s="4" t="s">
        <v>119</v>
      </c>
      <c r="BK4" s="5">
        <v>0.99727511999999996</v>
      </c>
      <c r="BL4">
        <f t="shared" ref="BL4:BL22" si="0">IF(BK4="","",BK4)</f>
        <v>0.99727511999999996</v>
      </c>
      <c r="BM4" s="4" t="s">
        <v>119</v>
      </c>
      <c r="BN4" s="5">
        <v>0.77006293000000003</v>
      </c>
      <c r="BO4">
        <f t="shared" ref="BO4:BO24" si="1">IF(BN4="","",BN4)</f>
        <v>0.77006293000000003</v>
      </c>
      <c r="BP4" s="4" t="s">
        <v>119</v>
      </c>
      <c r="BQ4" s="5">
        <v>1.20823328</v>
      </c>
      <c r="BR4">
        <f t="shared" ref="BR4:BR24" si="2">IF(BQ4="","",BQ4)</f>
        <v>1.20823328</v>
      </c>
      <c r="BS4" t="str">
        <v>ST4 - Program 2</v>
      </c>
      <c r="BT4">
        <v>0.51951552081644314</v>
      </c>
      <c r="BV4" t="str">
        <v>ST2-Program 1</v>
      </c>
      <c r="BW4">
        <v>0.80119785638735908</v>
      </c>
      <c r="BY4" t="str">
        <v>ST4 - Program 2</v>
      </c>
      <c r="BZ4">
        <v>0.42931842352795818</v>
      </c>
      <c r="CB4" t="str">
        <v>ST2-Program 1</v>
      </c>
      <c r="CC4">
        <v>1.1620674484000781</v>
      </c>
      <c r="CE4" t="str">
        <v>ST4 - Program 1</v>
      </c>
      <c r="CF4">
        <v>0.46823324630113144</v>
      </c>
      <c r="CH4" t="str">
        <v xml:space="preserve">ST1-Program 2 </v>
      </c>
      <c r="CI4">
        <v>2.1196189778347683</v>
      </c>
      <c r="CK4" t="str">
        <v>ST4 - Program 2</v>
      </c>
      <c r="CL4">
        <v>6.311316797250309E-2</v>
      </c>
      <c r="CN4" t="str">
        <v>ST3-Program 1</v>
      </c>
      <c r="CO4">
        <v>2.3247311827956989</v>
      </c>
      <c r="CQ4" t="str">
        <v>ST4 - Program 1</v>
      </c>
      <c r="CR4">
        <v>0.10051362821564913</v>
      </c>
      <c r="CT4" t="str">
        <v>ST3-Program 1</v>
      </c>
      <c r="CU4">
        <v>2.2877739888320519</v>
      </c>
    </row>
    <row r="5" spans="1:99" ht="21" thickBot="1" x14ac:dyDescent="0.35">
      <c r="A5" s="4" t="s">
        <v>89</v>
      </c>
      <c r="B5" s="4" t="s">
        <v>93</v>
      </c>
      <c r="C5" s="4" t="s">
        <v>118</v>
      </c>
      <c r="D5" s="4" t="s">
        <v>28</v>
      </c>
      <c r="E5" s="4" t="s">
        <v>29</v>
      </c>
      <c r="F5" s="4"/>
      <c r="G5" s="5">
        <v>0.28718473</v>
      </c>
      <c r="H5" s="6">
        <v>10.73836369</v>
      </c>
      <c r="I5" s="6">
        <v>3753</v>
      </c>
      <c r="J5" s="6">
        <v>3789.3</v>
      </c>
      <c r="K5" s="5">
        <v>2.9544868200000001</v>
      </c>
      <c r="L5" s="5">
        <v>0.49247421000000002</v>
      </c>
      <c r="M5" s="6">
        <v>14.959684810000001</v>
      </c>
      <c r="N5" s="6">
        <v>5459</v>
      </c>
      <c r="O5" s="6">
        <v>3882.4</v>
      </c>
      <c r="P5" s="5">
        <v>3.4316146700000001</v>
      </c>
      <c r="Q5" s="5">
        <v>2.6364485700000002</v>
      </c>
      <c r="R5" s="6">
        <v>17.896421140000001</v>
      </c>
      <c r="S5" s="6">
        <v>15013</v>
      </c>
      <c r="T5" s="6">
        <v>8388.6</v>
      </c>
      <c r="U5" s="5">
        <v>14.73170837</v>
      </c>
      <c r="V5" s="5">
        <v>1.1530855200000001</v>
      </c>
      <c r="W5" s="6">
        <v>12.81384446</v>
      </c>
      <c r="X5" s="6">
        <v>14440</v>
      </c>
      <c r="Y5" s="6">
        <v>11269.4</v>
      </c>
      <c r="Z5" s="5">
        <v>8.99874756</v>
      </c>
      <c r="AA5" s="5">
        <v>1.53390121</v>
      </c>
      <c r="AB5" s="6">
        <v>13.49075511</v>
      </c>
      <c r="AC5" s="6">
        <v>17549</v>
      </c>
      <c r="AD5" s="6">
        <v>13008.2</v>
      </c>
      <c r="AE5" s="5">
        <v>11.370017470000001</v>
      </c>
      <c r="AF5" s="5">
        <v>1.71400694</v>
      </c>
      <c r="AG5" s="6">
        <v>14.310960469999999</v>
      </c>
      <c r="AH5" s="6">
        <v>9862</v>
      </c>
      <c r="AI5" s="6">
        <v>6891.5</v>
      </c>
      <c r="AJ5" s="5">
        <v>11.976882659999999</v>
      </c>
      <c r="AK5" s="5">
        <v>1.1552457</v>
      </c>
      <c r="AL5" s="6">
        <v>12.82558184</v>
      </c>
      <c r="AM5" s="6">
        <v>14468</v>
      </c>
      <c r="AN5" s="6">
        <v>11280.2</v>
      </c>
      <c r="AO5" s="5">
        <v>9.00735508</v>
      </c>
      <c r="AP5" s="5">
        <v>1.4885348700000001</v>
      </c>
      <c r="AQ5" s="6">
        <v>13.02756175</v>
      </c>
      <c r="AR5" s="6">
        <v>17030</v>
      </c>
      <c r="AS5" s="6">
        <v>13072.3</v>
      </c>
      <c r="AT5" s="5">
        <v>11.4260435</v>
      </c>
      <c r="AU5" s="5">
        <v>1.72960951</v>
      </c>
      <c r="AV5" s="6">
        <v>14.942018790000001</v>
      </c>
      <c r="AW5" s="6">
        <v>9952</v>
      </c>
      <c r="AX5" s="6">
        <v>6660.6</v>
      </c>
      <c r="AY5" s="5">
        <v>11.575474059999999</v>
      </c>
      <c r="BE5" s="37" t="s">
        <v>73</v>
      </c>
      <c r="BF5" s="38" t="str">
        <f>_xlfn.CONCAT(BG4,BG2,BH5,BG3)</f>
        <v>='Midday Programs'!AK91</v>
      </c>
      <c r="BG5" s="21"/>
      <c r="BH5" s="21" t="s">
        <v>78</v>
      </c>
      <c r="BJ5" s="4" t="s">
        <v>104</v>
      </c>
      <c r="BK5" s="5">
        <v>0.97566640000000004</v>
      </c>
      <c r="BL5">
        <f t="shared" si="0"/>
        <v>0.97566640000000004</v>
      </c>
      <c r="BM5" s="4" t="s">
        <v>104</v>
      </c>
      <c r="BN5" s="5">
        <v>0.65330684000000006</v>
      </c>
      <c r="BO5">
        <f t="shared" si="1"/>
        <v>0.65330684000000006</v>
      </c>
      <c r="BP5" s="4" t="s">
        <v>117</v>
      </c>
      <c r="BQ5" s="5">
        <v>0.98892862999999998</v>
      </c>
      <c r="BR5">
        <f t="shared" si="2"/>
        <v>0.98892862999999998</v>
      </c>
      <c r="BS5" t="str">
        <v>ST3-Program 2</v>
      </c>
      <c r="BT5">
        <v>0.22003808057869767</v>
      </c>
      <c r="BV5" t="str">
        <v>ST4 - Program 1</v>
      </c>
      <c r="BW5">
        <v>0.77240030442845986</v>
      </c>
      <c r="BY5" t="str">
        <v>ST4 - Program 1</v>
      </c>
      <c r="BZ5">
        <v>0.37673494917926054</v>
      </c>
      <c r="CB5" t="str">
        <v>ST4 - Program 1</v>
      </c>
      <c r="CC5">
        <v>0.72544736806184451</v>
      </c>
      <c r="CE5" t="str">
        <v>ST3-Program 2</v>
      </c>
      <c r="CF5">
        <v>0.22013299701903233</v>
      </c>
      <c r="CH5" t="str">
        <v>ST2-Program 1</v>
      </c>
      <c r="CI5">
        <v>0.82148626817447501</v>
      </c>
      <c r="CK5" t="str">
        <v>ST2-Program 3</v>
      </c>
      <c r="CL5">
        <v>1.4982143825482011E-2</v>
      </c>
      <c r="CN5" t="str">
        <v>ST1-Program 1</v>
      </c>
      <c r="CO5">
        <v>0.43879952166030167</v>
      </c>
      <c r="CQ5" t="str">
        <v>ST4 - Program 2</v>
      </c>
      <c r="CR5">
        <v>6.3105004390113795E-2</v>
      </c>
      <c r="CT5" t="str">
        <v>ST1-Program 1</v>
      </c>
      <c r="CU5">
        <v>0.42279719404826321</v>
      </c>
    </row>
    <row r="6" spans="1:99" ht="20.399999999999999" x14ac:dyDescent="0.3">
      <c r="A6" s="4" t="s">
        <v>89</v>
      </c>
      <c r="B6" s="4" t="s">
        <v>93</v>
      </c>
      <c r="C6" s="4" t="s">
        <v>119</v>
      </c>
      <c r="D6" s="4" t="s">
        <v>29</v>
      </c>
      <c r="E6" s="4" t="s">
        <v>30</v>
      </c>
      <c r="F6" s="4"/>
      <c r="G6" s="5">
        <v>1.01541149</v>
      </c>
      <c r="H6" s="6">
        <v>9.0596655599999991</v>
      </c>
      <c r="I6" s="6">
        <v>12563</v>
      </c>
      <c r="J6" s="6">
        <v>13867</v>
      </c>
      <c r="K6" s="5">
        <v>11.208046039999999</v>
      </c>
      <c r="L6" s="5">
        <v>1.6459356199999999</v>
      </c>
      <c r="M6" s="6">
        <v>10.95327565</v>
      </c>
      <c r="N6" s="6">
        <v>18621</v>
      </c>
      <c r="O6" s="6">
        <v>17000.8</v>
      </c>
      <c r="P6" s="5">
        <v>15.026880289999999</v>
      </c>
      <c r="Q6" s="5">
        <v>1.6485501199999999</v>
      </c>
      <c r="R6" s="6">
        <v>10.77570504</v>
      </c>
      <c r="S6" s="6">
        <v>9387</v>
      </c>
      <c r="T6" s="6">
        <v>8711.5</v>
      </c>
      <c r="U6" s="5">
        <v>15.298768020000001</v>
      </c>
      <c r="V6" s="5">
        <v>0.80526675999999997</v>
      </c>
      <c r="W6" s="6">
        <v>8.2927637900000004</v>
      </c>
      <c r="X6" s="6">
        <v>10085</v>
      </c>
      <c r="Y6" s="6">
        <v>10160.700000000001</v>
      </c>
      <c r="Z6" s="5">
        <v>9.7104750600000003</v>
      </c>
      <c r="AA6" s="5">
        <v>1.0677110599999999</v>
      </c>
      <c r="AB6" s="6">
        <v>8.7336608499999997</v>
      </c>
      <c r="AC6" s="6">
        <v>12215</v>
      </c>
      <c r="AD6" s="6">
        <v>13986.6</v>
      </c>
      <c r="AE6" s="5">
        <v>12.22524072</v>
      </c>
      <c r="AF6" s="5">
        <v>1.2901895699999999</v>
      </c>
      <c r="AG6" s="6">
        <v>9.7550820999999992</v>
      </c>
      <c r="AH6" s="6">
        <v>7424</v>
      </c>
      <c r="AI6" s="6">
        <v>7610.2</v>
      </c>
      <c r="AJ6" s="5">
        <v>13.22581967</v>
      </c>
      <c r="AK6" s="5">
        <v>0.77006293000000003</v>
      </c>
      <c r="AL6" s="6">
        <v>7.9551219499999997</v>
      </c>
      <c r="AM6" s="6">
        <v>9644</v>
      </c>
      <c r="AN6" s="6">
        <v>12122.7</v>
      </c>
      <c r="AO6" s="5">
        <v>9.6800896200000004</v>
      </c>
      <c r="AP6" s="5">
        <v>0.99727511999999996</v>
      </c>
      <c r="AQ6" s="6">
        <v>8.2137497800000006</v>
      </c>
      <c r="AR6" s="6">
        <v>11410</v>
      </c>
      <c r="AS6" s="6">
        <v>13890.9</v>
      </c>
      <c r="AT6" s="5">
        <v>12.14153277</v>
      </c>
      <c r="AU6" s="5">
        <v>1.20823328</v>
      </c>
      <c r="AV6" s="6">
        <v>9.7652754300000009</v>
      </c>
      <c r="AW6" s="6">
        <v>6952</v>
      </c>
      <c r="AX6" s="6">
        <v>7119.3</v>
      </c>
      <c r="AY6" s="5">
        <v>12.37275166</v>
      </c>
      <c r="BJ6" s="4" t="s">
        <v>111</v>
      </c>
      <c r="BK6" s="5">
        <v>0.94235838999999999</v>
      </c>
      <c r="BL6">
        <f t="shared" si="0"/>
        <v>0.94235838999999999</v>
      </c>
      <c r="BM6" s="4" t="s">
        <v>117</v>
      </c>
      <c r="BN6" s="5">
        <v>0.64755843000000002</v>
      </c>
      <c r="BO6">
        <f t="shared" si="1"/>
        <v>0.64755843000000002</v>
      </c>
      <c r="BP6" s="4" t="s">
        <v>104</v>
      </c>
      <c r="BQ6" s="5">
        <v>0.88591642999999998</v>
      </c>
      <c r="BR6">
        <f t="shared" si="2"/>
        <v>0.88591642999999998</v>
      </c>
      <c r="BS6" t="str">
        <v>ST2-Program 1</v>
      </c>
      <c r="BT6">
        <v>0.11047231036413079</v>
      </c>
      <c r="BV6" t="str">
        <v>ST3-Program 2</v>
      </c>
      <c r="BW6">
        <v>0.18629733642408092</v>
      </c>
      <c r="BY6" t="str">
        <v>ST2-Program 1</v>
      </c>
      <c r="BZ6">
        <v>8.0863977485157064E-3</v>
      </c>
      <c r="CB6" t="str">
        <v>ST2-Program 3</v>
      </c>
      <c r="CC6">
        <v>0.42966544800072387</v>
      </c>
      <c r="CE6" t="str">
        <v>ST2-Program 1</v>
      </c>
      <c r="CF6">
        <v>0.11047275114904793</v>
      </c>
      <c r="CH6" t="str">
        <v>ST3-Program 2</v>
      </c>
      <c r="CI6">
        <v>0.19977452085682074</v>
      </c>
      <c r="CK6" t="str">
        <v>ST1-Program 1</v>
      </c>
      <c r="CL6">
        <v>6.5397105256055216E-3</v>
      </c>
      <c r="CN6" t="str">
        <v>ST2-Program 2</v>
      </c>
      <c r="CO6">
        <v>-0.14715589058010234</v>
      </c>
      <c r="CQ6" t="str">
        <v>ST2-Program 3</v>
      </c>
      <c r="CR6">
        <v>1.4979876460832695E-2</v>
      </c>
      <c r="CT6" t="str">
        <v>ST2-Program 2</v>
      </c>
      <c r="CU6">
        <v>-0.15663649493022028</v>
      </c>
    </row>
    <row r="7" spans="1:99" ht="21" thickBot="1" x14ac:dyDescent="0.35">
      <c r="A7" s="4" t="s">
        <v>90</v>
      </c>
      <c r="B7" s="4" t="s">
        <v>94</v>
      </c>
      <c r="C7" s="4" t="s">
        <v>102</v>
      </c>
      <c r="D7" s="4" t="s">
        <v>31</v>
      </c>
      <c r="E7" s="4" t="s">
        <v>32</v>
      </c>
      <c r="F7" s="4"/>
      <c r="G7" s="5">
        <v>0.2414616</v>
      </c>
      <c r="H7" s="6">
        <v>3.1218023499999998</v>
      </c>
      <c r="I7" s="6">
        <v>2987</v>
      </c>
      <c r="J7" s="6">
        <v>9569.6</v>
      </c>
      <c r="K7" s="5">
        <v>7.73468556</v>
      </c>
      <c r="L7" s="5">
        <v>0.32829812000000003</v>
      </c>
      <c r="M7" s="6">
        <v>3.3079299099999999</v>
      </c>
      <c r="N7" s="6">
        <v>3714</v>
      </c>
      <c r="O7" s="6">
        <v>11228.3</v>
      </c>
      <c r="P7" s="5">
        <v>9.9245789599999998</v>
      </c>
      <c r="Q7" s="5">
        <v>0.44888614999999998</v>
      </c>
      <c r="R7" s="6">
        <v>4.20482522</v>
      </c>
      <c r="S7" s="6">
        <v>2556</v>
      </c>
      <c r="T7" s="6">
        <v>6078.9</v>
      </c>
      <c r="U7" s="5">
        <v>10.675500850000001</v>
      </c>
      <c r="V7" s="5">
        <v>0.43711686</v>
      </c>
      <c r="W7" s="6">
        <v>7.2452470099999999</v>
      </c>
      <c r="X7" s="6">
        <v>5474</v>
      </c>
      <c r="Y7" s="6">
        <v>7555.5</v>
      </c>
      <c r="Z7" s="5">
        <v>6.0331533799999999</v>
      </c>
      <c r="AA7" s="5">
        <v>0.53250302999999999</v>
      </c>
      <c r="AB7" s="6">
        <v>7.0945978399999996</v>
      </c>
      <c r="AC7" s="6">
        <v>6092</v>
      </c>
      <c r="AD7" s="6">
        <v>8587.2000000000007</v>
      </c>
      <c r="AE7" s="5">
        <v>7.5057535399999997</v>
      </c>
      <c r="AF7" s="5">
        <v>0.17475412000000001</v>
      </c>
      <c r="AG7" s="6">
        <v>8.7284953400000003</v>
      </c>
      <c r="AH7" s="6">
        <v>2189</v>
      </c>
      <c r="AI7" s="6">
        <v>2907.3</v>
      </c>
      <c r="AJ7" s="5">
        <v>2.5021104599999999</v>
      </c>
      <c r="AK7" s="5">
        <v>0.34059085</v>
      </c>
      <c r="AL7" s="6">
        <v>11.433205259999999</v>
      </c>
      <c r="AM7" s="6">
        <v>3897</v>
      </c>
      <c r="AN7" s="6">
        <v>3408.2</v>
      </c>
      <c r="AO7" s="5">
        <v>2.9789620999999999</v>
      </c>
      <c r="AP7" s="5">
        <v>0.59132987000000004</v>
      </c>
      <c r="AQ7" s="6">
        <v>7.15196758</v>
      </c>
      <c r="AR7" s="6">
        <v>6765</v>
      </c>
      <c r="AS7" s="6">
        <v>9459.2999999999993</v>
      </c>
      <c r="AT7" s="5">
        <v>8.2680726300000007</v>
      </c>
      <c r="AU7" s="5">
        <v>0.52048738000000005</v>
      </c>
      <c r="AV7" s="6">
        <v>5.9263495400000004</v>
      </c>
      <c r="AW7" s="6">
        <v>2995</v>
      </c>
      <c r="AX7" s="6">
        <v>5053.5</v>
      </c>
      <c r="AY7" s="5">
        <v>8.7825967200000008</v>
      </c>
      <c r="BE7" s="27" t="s">
        <v>86</v>
      </c>
      <c r="BF7" s="51" t="s">
        <v>68</v>
      </c>
      <c r="BG7" s="51"/>
      <c r="BJ7" s="4" t="s">
        <v>117</v>
      </c>
      <c r="BK7" s="5">
        <v>0.88537233000000004</v>
      </c>
      <c r="BL7">
        <f t="shared" si="0"/>
        <v>0.88537233000000004</v>
      </c>
      <c r="BM7" s="4" t="s">
        <v>103</v>
      </c>
      <c r="BN7" s="5">
        <v>0.44789340999999999</v>
      </c>
      <c r="BO7">
        <f t="shared" si="1"/>
        <v>0.44789340999999999</v>
      </c>
      <c r="BP7" s="4" t="s">
        <v>103</v>
      </c>
      <c r="BQ7" s="5">
        <v>0.70423685999999996</v>
      </c>
      <c r="BR7">
        <f t="shared" si="2"/>
        <v>0.70423685999999996</v>
      </c>
      <c r="BS7" t="str">
        <v>ST2-Program 3</v>
      </c>
      <c r="BT7">
        <v>-1.954886117939594E-2</v>
      </c>
      <c r="BV7" t="str">
        <v>ST2-Program 2</v>
      </c>
      <c r="BW7">
        <v>0.14996073915061689</v>
      </c>
      <c r="BY7" t="str">
        <v>ST2-Program 3</v>
      </c>
      <c r="BZ7">
        <v>-3.4019134292659653E-2</v>
      </c>
      <c r="CB7" t="str">
        <v>ST2-Program 2</v>
      </c>
      <c r="CC7">
        <v>0.36354102631112306</v>
      </c>
      <c r="CE7" t="str">
        <v>ST2-Program 3</v>
      </c>
      <c r="CF7">
        <v>-1.9587176108915239E-2</v>
      </c>
      <c r="CH7" t="str">
        <v>ST1-Program 1</v>
      </c>
      <c r="CI7">
        <v>0.17505800464037122</v>
      </c>
      <c r="CK7" t="str">
        <v>ST2-Program 2</v>
      </c>
      <c r="CL7">
        <v>6.5397105256055216E-3</v>
      </c>
      <c r="CN7" t="str">
        <v>ST2-Program 1</v>
      </c>
      <c r="CO7">
        <v>-0.15754833768246307</v>
      </c>
      <c r="CQ7" t="str">
        <v>ST1-Program 1</v>
      </c>
      <c r="CR7">
        <v>6.5374649260927726E-3</v>
      </c>
      <c r="CT7" t="str">
        <v>ST2-Program 1</v>
      </c>
      <c r="CU7">
        <v>-0.16690948166933614</v>
      </c>
    </row>
    <row r="8" spans="1:99" ht="20.399999999999999" x14ac:dyDescent="0.3">
      <c r="A8" s="4" t="s">
        <v>90</v>
      </c>
      <c r="B8" s="4" t="s">
        <v>94</v>
      </c>
      <c r="C8" s="4" t="s">
        <v>103</v>
      </c>
      <c r="D8" s="4" t="s">
        <v>26</v>
      </c>
      <c r="E8" s="4" t="s">
        <v>27</v>
      </c>
      <c r="F8" s="4"/>
      <c r="G8" s="5">
        <v>0.52071352999999998</v>
      </c>
      <c r="H8" s="6">
        <v>5.9709536500000002</v>
      </c>
      <c r="I8" s="6">
        <v>6442</v>
      </c>
      <c r="J8" s="6">
        <v>10789.6</v>
      </c>
      <c r="K8" s="5">
        <v>8.7207765699999999</v>
      </c>
      <c r="L8" s="5">
        <v>0.69402472000000004</v>
      </c>
      <c r="M8" s="6">
        <v>5.9846635800000003</v>
      </c>
      <c r="N8" s="6">
        <v>7852</v>
      </c>
      <c r="O8" s="6">
        <v>13120.1</v>
      </c>
      <c r="P8" s="5">
        <v>11.596720680000001</v>
      </c>
      <c r="Q8" s="5">
        <v>0.81177657999999997</v>
      </c>
      <c r="R8" s="6">
        <v>6.65711838</v>
      </c>
      <c r="S8" s="6">
        <v>4622</v>
      </c>
      <c r="T8" s="6">
        <v>6943.7</v>
      </c>
      <c r="U8" s="5">
        <v>12.19411356</v>
      </c>
      <c r="V8" s="5">
        <v>0.64310473999999995</v>
      </c>
      <c r="W8" s="6">
        <v>8.3982938100000002</v>
      </c>
      <c r="X8" s="6">
        <v>8054</v>
      </c>
      <c r="Y8" s="6">
        <v>9589.7999999999993</v>
      </c>
      <c r="Z8" s="5">
        <v>7.6575641699999997</v>
      </c>
      <c r="AA8" s="5">
        <v>0.82149775000000003</v>
      </c>
      <c r="AB8" s="6">
        <v>8.4544687100000004</v>
      </c>
      <c r="AC8" s="6">
        <v>9399</v>
      </c>
      <c r="AD8" s="6">
        <v>11116.7</v>
      </c>
      <c r="AE8" s="5">
        <v>9.7167282299999993</v>
      </c>
      <c r="AF8" s="5">
        <v>0.24537043</v>
      </c>
      <c r="AG8" s="6">
        <v>10.865604510000001</v>
      </c>
      <c r="AH8" s="6">
        <v>3073</v>
      </c>
      <c r="AI8" s="6">
        <v>2828.1</v>
      </c>
      <c r="AJ8" s="5">
        <v>2.2582308499999999</v>
      </c>
      <c r="AK8" s="5">
        <v>0.44789340999999999</v>
      </c>
      <c r="AL8" s="6">
        <v>13.02064805</v>
      </c>
      <c r="AM8" s="6">
        <v>5124</v>
      </c>
      <c r="AN8" s="6">
        <v>3935.5</v>
      </c>
      <c r="AO8" s="5">
        <v>3.43987036</v>
      </c>
      <c r="AP8" s="5">
        <v>0.79810117999999997</v>
      </c>
      <c r="AQ8" s="6">
        <v>8.1603343200000005</v>
      </c>
      <c r="AR8" s="6">
        <v>9131</v>
      </c>
      <c r="AS8" s="6">
        <v>11189.4</v>
      </c>
      <c r="AT8" s="5">
        <v>9.7802509999999998</v>
      </c>
      <c r="AU8" s="5">
        <v>0.70423685999999996</v>
      </c>
      <c r="AV8" s="6">
        <v>7.2092780200000002</v>
      </c>
      <c r="AW8" s="6">
        <v>4052</v>
      </c>
      <c r="AX8" s="6">
        <v>5620.8</v>
      </c>
      <c r="AY8" s="5">
        <v>9.7684796600000006</v>
      </c>
      <c r="BE8">
        <v>18</v>
      </c>
      <c r="BG8" s="23" t="s">
        <v>45</v>
      </c>
      <c r="BJ8" s="4" t="s">
        <v>103</v>
      </c>
      <c r="BK8" s="5">
        <v>0.79810117999999997</v>
      </c>
      <c r="BL8">
        <f t="shared" si="0"/>
        <v>0.79810117999999997</v>
      </c>
      <c r="BM8" s="4" t="s">
        <v>102</v>
      </c>
      <c r="BN8" s="5">
        <v>0.34059085</v>
      </c>
      <c r="BO8">
        <f t="shared" si="1"/>
        <v>0.34059085</v>
      </c>
      <c r="BP8" s="4" t="s">
        <v>121</v>
      </c>
      <c r="BQ8" s="5">
        <v>0.59574768</v>
      </c>
      <c r="BR8">
        <f t="shared" si="2"/>
        <v>0.59574768</v>
      </c>
      <c r="BS8" t="str">
        <v>ST2-Program 2</v>
      </c>
      <c r="BT8">
        <v>-2.8480382326062439E-2</v>
      </c>
      <c r="BV8" t="str">
        <v>ST2-Program 3</v>
      </c>
      <c r="BW8">
        <v>0.14694158381970712</v>
      </c>
      <c r="BY8" t="str">
        <v xml:space="preserve">ST1-Program 2 </v>
      </c>
      <c r="BZ8">
        <v>-3.4334131501405629E-2</v>
      </c>
      <c r="CB8" t="str">
        <v>ST4 - Program 2</v>
      </c>
      <c r="CC8">
        <v>-5.7805029436593068E-2</v>
      </c>
      <c r="CE8" t="str">
        <v>ST2-Program 2</v>
      </c>
      <c r="CF8">
        <v>-2.8513671667198637E-2</v>
      </c>
      <c r="CH8" t="str">
        <v>ST2-Program 2</v>
      </c>
      <c r="CI8">
        <v>0.16288843606724401</v>
      </c>
      <c r="CK8" t="str">
        <v xml:space="preserve">ST1-Program 2 </v>
      </c>
      <c r="CL8">
        <v>4.9276610138219382E-3</v>
      </c>
      <c r="CN8" t="str">
        <v xml:space="preserve">ST1-Program 3 </v>
      </c>
      <c r="CO8">
        <v>-0.18292668580302102</v>
      </c>
      <c r="CQ8" t="str">
        <v>ST2-Program 2</v>
      </c>
      <c r="CR8">
        <v>6.5374649260927726E-3</v>
      </c>
      <c r="CT8" t="str">
        <v xml:space="preserve">ST1-Program 3 </v>
      </c>
      <c r="CU8">
        <v>-0.1920124113799006</v>
      </c>
    </row>
    <row r="9" spans="1:99" ht="21" thickBot="1" x14ac:dyDescent="0.35">
      <c r="A9" s="4" t="s">
        <v>90</v>
      </c>
      <c r="B9" s="4" t="s">
        <v>94</v>
      </c>
      <c r="C9" s="4" t="s">
        <v>104</v>
      </c>
      <c r="D9" s="4" t="s">
        <v>28</v>
      </c>
      <c r="E9" s="4" t="s">
        <v>29</v>
      </c>
      <c r="F9" s="4"/>
      <c r="G9" s="5">
        <v>0.58678222000000002</v>
      </c>
      <c r="H9" s="6">
        <v>5.5383950500000001</v>
      </c>
      <c r="I9" s="6">
        <v>7260</v>
      </c>
      <c r="J9" s="6">
        <v>13108.3</v>
      </c>
      <c r="K9" s="5">
        <v>10.594806159999999</v>
      </c>
      <c r="L9" s="5">
        <v>0.85066790999999997</v>
      </c>
      <c r="M9" s="6">
        <v>5.9591145900000004</v>
      </c>
      <c r="N9" s="6">
        <v>9624</v>
      </c>
      <c r="O9" s="6">
        <v>16150.3</v>
      </c>
      <c r="P9" s="5">
        <v>14.27507224</v>
      </c>
      <c r="Q9" s="5">
        <v>0.91632027000000005</v>
      </c>
      <c r="R9" s="6">
        <v>6.2200543399999999</v>
      </c>
      <c r="S9" s="6">
        <v>5218</v>
      </c>
      <c r="T9" s="6">
        <v>8388.6</v>
      </c>
      <c r="U9" s="5">
        <v>14.73170837</v>
      </c>
      <c r="V9" s="5">
        <v>0.76863612000000003</v>
      </c>
      <c r="W9" s="6">
        <v>8.6445259199999995</v>
      </c>
      <c r="X9" s="6">
        <v>9626</v>
      </c>
      <c r="Y9" s="6">
        <v>11135.2</v>
      </c>
      <c r="Z9" s="5">
        <v>8.8915936900000005</v>
      </c>
      <c r="AA9" s="5">
        <v>0.99511985999999997</v>
      </c>
      <c r="AB9" s="6">
        <v>8.8195745199999998</v>
      </c>
      <c r="AC9" s="6">
        <v>11385</v>
      </c>
      <c r="AD9" s="6">
        <v>12908.7</v>
      </c>
      <c r="AE9" s="5">
        <v>11.283082370000001</v>
      </c>
      <c r="AF9" s="5">
        <v>1.03560827</v>
      </c>
      <c r="AG9" s="6">
        <v>8.7048064200000006</v>
      </c>
      <c r="AH9" s="6">
        <v>5959</v>
      </c>
      <c r="AI9" s="6">
        <v>6845.6</v>
      </c>
      <c r="AJ9" s="5">
        <v>11.896970700000001</v>
      </c>
      <c r="AK9" s="5">
        <v>0.65330684000000006</v>
      </c>
      <c r="AL9" s="6">
        <v>7.2246008799999997</v>
      </c>
      <c r="AM9" s="6">
        <v>8182</v>
      </c>
      <c r="AN9" s="6">
        <v>11324.6</v>
      </c>
      <c r="AO9" s="5">
        <v>9.0428087700000006</v>
      </c>
      <c r="AP9" s="5">
        <v>0.97566640000000004</v>
      </c>
      <c r="AQ9" s="6">
        <v>8.5195402300000005</v>
      </c>
      <c r="AR9" s="6">
        <v>11162</v>
      </c>
      <c r="AS9" s="6">
        <v>13102.1</v>
      </c>
      <c r="AT9" s="5">
        <v>11.45210155</v>
      </c>
      <c r="AU9" s="5">
        <v>0.88591642999999998</v>
      </c>
      <c r="AV9" s="6">
        <v>7.6500272100000002</v>
      </c>
      <c r="AW9" s="6">
        <v>5098</v>
      </c>
      <c r="AX9" s="6">
        <v>6663.5</v>
      </c>
      <c r="AY9" s="5">
        <v>11.58056581</v>
      </c>
      <c r="BE9" t="s">
        <v>87</v>
      </c>
      <c r="BG9" s="24" t="s">
        <v>11</v>
      </c>
      <c r="BJ9" s="4" t="s">
        <v>102</v>
      </c>
      <c r="BK9" s="5">
        <v>0.59132987000000004</v>
      </c>
      <c r="BL9">
        <f t="shared" si="0"/>
        <v>0.59132987000000004</v>
      </c>
      <c r="BM9" s="4" t="s">
        <v>111</v>
      </c>
      <c r="BN9" s="5">
        <v>0.30405300000000002</v>
      </c>
      <c r="BO9">
        <f t="shared" si="1"/>
        <v>0.30405300000000002</v>
      </c>
      <c r="BP9" s="4" t="s">
        <v>102</v>
      </c>
      <c r="BQ9" s="5">
        <v>0.52048738000000005</v>
      </c>
      <c r="BR9">
        <f t="shared" si="2"/>
        <v>0.52048738000000005</v>
      </c>
      <c r="BS9" t="str">
        <v xml:space="preserve">ST1-Program 2 </v>
      </c>
      <c r="BT9">
        <v>-2.9575789955860292E-2</v>
      </c>
      <c r="BV9" t="str">
        <v>ST1-Program 1</v>
      </c>
      <c r="BW9">
        <v>2.7217711281148717E-2</v>
      </c>
      <c r="BY9" t="str">
        <v>ST2-Program 2</v>
      </c>
      <c r="BZ9">
        <v>-3.479040494313923E-2</v>
      </c>
      <c r="CB9" t="str">
        <v xml:space="preserve">ST1-Program 2 </v>
      </c>
      <c r="CC9">
        <v>-0.12915533211692046</v>
      </c>
      <c r="CE9" t="str">
        <v xml:space="preserve">ST1-Program 2 </v>
      </c>
      <c r="CF9">
        <v>-2.957433471992706E-2</v>
      </c>
      <c r="CH9" t="str">
        <v>ST2-Program 3</v>
      </c>
      <c r="CI9">
        <v>0.15980881130507066</v>
      </c>
      <c r="CK9" t="str">
        <v>ST3-Program 1</v>
      </c>
      <c r="CL9">
        <v>-4.0228486349515912E-3</v>
      </c>
      <c r="CN9" t="str">
        <v>ST2-Program 3</v>
      </c>
      <c r="CO9">
        <v>-0.18873952805830227</v>
      </c>
      <c r="CQ9" t="str">
        <v xml:space="preserve">ST1-Program 2 </v>
      </c>
      <c r="CR9">
        <v>4.9275236513774629E-3</v>
      </c>
      <c r="CT9" t="str">
        <v>ST2-Program 3</v>
      </c>
      <c r="CU9">
        <v>-0.19775526473973207</v>
      </c>
    </row>
    <row r="10" spans="1:99" ht="21" thickBot="1" x14ac:dyDescent="0.35">
      <c r="A10" s="4" t="s">
        <v>91</v>
      </c>
      <c r="B10" s="4" t="s">
        <v>95</v>
      </c>
      <c r="C10" s="4" t="s">
        <v>120</v>
      </c>
      <c r="D10" s="4" t="s">
        <v>29</v>
      </c>
      <c r="E10" s="4" t="s">
        <v>30</v>
      </c>
      <c r="F10" s="4"/>
      <c r="G10" s="5">
        <v>0.24151797999999999</v>
      </c>
      <c r="H10" s="6">
        <v>8.78704529</v>
      </c>
      <c r="I10" s="6">
        <v>914</v>
      </c>
      <c r="J10" s="6">
        <v>3874.4</v>
      </c>
      <c r="K10" s="5">
        <v>2.9232752899999999</v>
      </c>
      <c r="L10" s="5">
        <v>0.35438803000000002</v>
      </c>
      <c r="M10" s="6">
        <v>4.4703115100000002</v>
      </c>
      <c r="N10" s="6">
        <v>615</v>
      </c>
      <c r="O10" s="6">
        <v>4185</v>
      </c>
      <c r="P10" s="5">
        <v>3.6990823399999999</v>
      </c>
      <c r="Q10" s="4" t="s">
        <v>20</v>
      </c>
      <c r="R10" s="4" t="s">
        <v>20</v>
      </c>
      <c r="S10" s="4" t="s">
        <v>20</v>
      </c>
      <c r="T10" s="4" t="s">
        <v>20</v>
      </c>
      <c r="U10" s="4" t="s">
        <v>20</v>
      </c>
      <c r="V10" s="5">
        <v>0.37139583999999998</v>
      </c>
      <c r="W10" s="6">
        <v>3.84971094</v>
      </c>
      <c r="X10" s="6">
        <v>4651</v>
      </c>
      <c r="Y10" s="6">
        <v>10081.700000000001</v>
      </c>
      <c r="Z10" s="5">
        <v>9.6473695900000003</v>
      </c>
      <c r="AA10" s="5">
        <v>0.53307002000000003</v>
      </c>
      <c r="AB10" s="6">
        <v>4.36554529</v>
      </c>
      <c r="AC10" s="6">
        <v>6099</v>
      </c>
      <c r="AD10" s="6">
        <v>13970.2</v>
      </c>
      <c r="AE10" s="5">
        <v>12.210846220000001</v>
      </c>
      <c r="AF10" s="5">
        <v>0.58710339</v>
      </c>
      <c r="AG10" s="6">
        <v>4.4751295500000001</v>
      </c>
      <c r="AH10" s="6">
        <v>3378</v>
      </c>
      <c r="AI10" s="6">
        <v>7548.9</v>
      </c>
      <c r="AJ10" s="5">
        <v>13.119249050000001</v>
      </c>
      <c r="AK10" s="5">
        <v>0.21276323999999999</v>
      </c>
      <c r="AL10" s="6">
        <v>2.1965613400000001</v>
      </c>
      <c r="AM10" s="6">
        <v>2665</v>
      </c>
      <c r="AN10" s="6">
        <v>12130.3</v>
      </c>
      <c r="AO10" s="5">
        <v>9.6861961300000008</v>
      </c>
      <c r="AP10" s="5">
        <v>0.32282487999999998</v>
      </c>
      <c r="AQ10" s="6">
        <v>2.6544285699999999</v>
      </c>
      <c r="AR10" s="6">
        <v>3693</v>
      </c>
      <c r="AS10" s="6">
        <v>13914</v>
      </c>
      <c r="AT10" s="5">
        <v>12.1617467</v>
      </c>
      <c r="AU10" s="5">
        <v>0.28365016999999998</v>
      </c>
      <c r="AV10" s="6">
        <v>2.2843578199999999</v>
      </c>
      <c r="AW10" s="6">
        <v>1632</v>
      </c>
      <c r="AX10" s="6">
        <v>7144.8</v>
      </c>
      <c r="AY10" s="5">
        <v>12.41706385</v>
      </c>
      <c r="BE10">
        <v>48</v>
      </c>
      <c r="BJ10" s="4" t="s">
        <v>121</v>
      </c>
      <c r="BK10" s="5">
        <v>0.46504915000000002</v>
      </c>
      <c r="BL10">
        <f t="shared" si="0"/>
        <v>0.46504915000000002</v>
      </c>
      <c r="BM10" s="4" t="s">
        <v>121</v>
      </c>
      <c r="BN10" s="5">
        <v>0.27971040000000003</v>
      </c>
      <c r="BO10">
        <f t="shared" si="1"/>
        <v>0.27971040000000003</v>
      </c>
      <c r="BP10" s="4" t="s">
        <v>111</v>
      </c>
      <c r="BQ10" s="5">
        <v>0.39339384999999999</v>
      </c>
      <c r="BR10">
        <f t="shared" si="2"/>
        <v>0.39339384999999999</v>
      </c>
      <c r="BS10" t="str">
        <v xml:space="preserve">ST1-Program 3 </v>
      </c>
      <c r="BT10">
        <v>-6.5969102165149424E-2</v>
      </c>
      <c r="BV10" t="str">
        <v>ST3-Program 1</v>
      </c>
      <c r="BW10">
        <v>-8.9063815163283128E-2</v>
      </c>
      <c r="BY10" t="str">
        <v xml:space="preserve">ST1-Program 3 </v>
      </c>
      <c r="BZ10">
        <v>-5.9529569435936958E-2</v>
      </c>
      <c r="CB10" t="str">
        <v xml:space="preserve">ST1-Program 3 </v>
      </c>
      <c r="CC10">
        <v>-0.25011019146587438</v>
      </c>
      <c r="CE10" t="str">
        <v xml:space="preserve">ST1-Program 3 </v>
      </c>
      <c r="CF10">
        <v>-6.5902578796561598E-2</v>
      </c>
      <c r="CH10" t="str">
        <v>ST4 - Program 1</v>
      </c>
      <c r="CI10">
        <v>-0.15860349127182044</v>
      </c>
      <c r="CK10" t="str">
        <v xml:space="preserve">ST1-Program 3 </v>
      </c>
      <c r="CL10">
        <v>-6.8422633091673978E-3</v>
      </c>
      <c r="CN10" t="str">
        <v>ST4 - Program 2</v>
      </c>
      <c r="CO10">
        <v>-0.52317860697725238</v>
      </c>
      <c r="CQ10" t="str">
        <v>ST3-Program 1</v>
      </c>
      <c r="CR10">
        <v>-4.0209760335512927E-3</v>
      </c>
      <c r="CT10" t="str">
        <v>ST4 - Program 1</v>
      </c>
      <c r="CU10">
        <v>-0.51780992388168823</v>
      </c>
    </row>
    <row r="11" spans="1:99" ht="20.399999999999999" x14ac:dyDescent="0.3">
      <c r="A11" s="4" t="s">
        <v>91</v>
      </c>
      <c r="B11" s="4" t="s">
        <v>95</v>
      </c>
      <c r="C11" s="4" t="s">
        <v>121</v>
      </c>
      <c r="D11" s="4" t="s">
        <v>26</v>
      </c>
      <c r="E11" s="4" t="s">
        <v>27</v>
      </c>
      <c r="F11" s="4"/>
      <c r="G11" s="5">
        <v>0.24855721</v>
      </c>
      <c r="H11" s="6">
        <v>2.8566099600000001</v>
      </c>
      <c r="I11" s="6">
        <v>3075</v>
      </c>
      <c r="J11" s="6">
        <v>10765.3</v>
      </c>
      <c r="K11" s="5">
        <v>8.7011253699999997</v>
      </c>
      <c r="L11" s="5">
        <v>0.39201735999999998</v>
      </c>
      <c r="M11" s="6">
        <v>3.3865293200000002</v>
      </c>
      <c r="N11" s="6">
        <v>4435</v>
      </c>
      <c r="O11" s="6">
        <v>13096.4</v>
      </c>
      <c r="P11" s="5">
        <v>11.575785359999999</v>
      </c>
      <c r="Q11" s="5">
        <v>0.40951600999999999</v>
      </c>
      <c r="R11" s="6">
        <v>3.3514663699999998</v>
      </c>
      <c r="S11" s="6">
        <v>2332</v>
      </c>
      <c r="T11" s="6">
        <v>6957.8</v>
      </c>
      <c r="U11" s="5">
        <v>12.21901001</v>
      </c>
      <c r="V11" s="5">
        <v>0.26519346999999999</v>
      </c>
      <c r="W11" s="6">
        <v>3.46315697</v>
      </c>
      <c r="X11" s="6">
        <v>3321</v>
      </c>
      <c r="Y11" s="6">
        <v>9589.7999999999993</v>
      </c>
      <c r="Z11" s="5">
        <v>7.6575641699999997</v>
      </c>
      <c r="AA11" s="5">
        <v>0.38117593</v>
      </c>
      <c r="AB11" s="6">
        <v>3.9228835499999999</v>
      </c>
      <c r="AC11" s="6">
        <v>4361</v>
      </c>
      <c r="AD11" s="6">
        <v>11116.7</v>
      </c>
      <c r="AE11" s="5">
        <v>9.7167282299999993</v>
      </c>
      <c r="AF11" s="5">
        <v>0.41347977000000002</v>
      </c>
      <c r="AG11" s="6">
        <v>4.1524168699999997</v>
      </c>
      <c r="AH11" s="6">
        <v>2379</v>
      </c>
      <c r="AI11" s="6">
        <v>5729.6</v>
      </c>
      <c r="AJ11" s="5">
        <v>9.9575688699999994</v>
      </c>
      <c r="AK11" s="5">
        <v>0.27971040000000003</v>
      </c>
      <c r="AL11" s="6">
        <v>12.190296549999999</v>
      </c>
      <c r="AM11" s="6">
        <v>3503</v>
      </c>
      <c r="AN11" s="6">
        <v>2873.5</v>
      </c>
      <c r="AO11" s="5">
        <v>2.2945331499999999</v>
      </c>
      <c r="AP11" s="5">
        <v>0.46504915000000002</v>
      </c>
      <c r="AQ11" s="6">
        <v>15.325306579999999</v>
      </c>
      <c r="AR11" s="6">
        <v>5321</v>
      </c>
      <c r="AS11" s="6">
        <v>3471.7</v>
      </c>
      <c r="AT11" s="5">
        <v>3.03451775</v>
      </c>
      <c r="AU11" s="5">
        <v>0.59574768</v>
      </c>
      <c r="AV11" s="6">
        <v>16.668915640000002</v>
      </c>
      <c r="AW11" s="6">
        <v>3428</v>
      </c>
      <c r="AX11" s="6">
        <v>2056.5</v>
      </c>
      <c r="AY11" s="5">
        <v>3.5740037899999999</v>
      </c>
      <c r="BF11" s="23" t="s">
        <v>45</v>
      </c>
      <c r="BG11" s="23" t="s">
        <v>45</v>
      </c>
      <c r="BJ11" s="4" t="s">
        <v>120</v>
      </c>
      <c r="BK11" s="5">
        <v>0.32282487999999998</v>
      </c>
      <c r="BL11">
        <f t="shared" si="0"/>
        <v>0.32282487999999998</v>
      </c>
      <c r="BM11" s="4" t="s">
        <v>120</v>
      </c>
      <c r="BN11" s="5">
        <v>0.21276323999999999</v>
      </c>
      <c r="BO11">
        <f t="shared" si="1"/>
        <v>0.21276323999999999</v>
      </c>
      <c r="BP11" s="4" t="s">
        <v>120</v>
      </c>
      <c r="BQ11" s="5">
        <v>0.28365016999999998</v>
      </c>
      <c r="BR11">
        <f t="shared" si="2"/>
        <v>0.28365016999999998</v>
      </c>
      <c r="BS11" t="str">
        <v>ST1-Program 1</v>
      </c>
      <c r="BT11">
        <v>-0.29627358781206325</v>
      </c>
      <c r="BV11" t="str">
        <v xml:space="preserve">ST1-Program 3 </v>
      </c>
      <c r="BW11">
        <v>-0.3940983426800132</v>
      </c>
      <c r="BY11" t="str">
        <v>ST1-Program 1</v>
      </c>
      <c r="BZ11">
        <v>-0.3008442940587101</v>
      </c>
      <c r="CB11" t="str">
        <v>ST1-Program 1</v>
      </c>
      <c r="CC11">
        <v>-0.25085911339407202</v>
      </c>
      <c r="CE11" t="str">
        <v>ST1-Program 1</v>
      </c>
      <c r="CF11">
        <v>-0.29630401556203972</v>
      </c>
      <c r="CH11" t="str">
        <v xml:space="preserve">ST1-Program 3 </v>
      </c>
      <c r="CI11">
        <v>-0.38725095322485364</v>
      </c>
      <c r="CK11" t="str">
        <v>ST4 - Program 1</v>
      </c>
      <c r="CL11">
        <v>-5.6228207451335742E-2</v>
      </c>
      <c r="CN11" t="str">
        <v>ST4 - Program 1</v>
      </c>
      <c r="CO11">
        <v>-0.57431131310254302</v>
      </c>
      <c r="CQ11" t="str">
        <v xml:space="preserve">ST1-Program 3 </v>
      </c>
      <c r="CR11">
        <v>-6.8471412479476201E-3</v>
      </c>
      <c r="CT11" t="str">
        <v>ST4 - Program 2</v>
      </c>
      <c r="CU11">
        <v>-0.52848212698763808</v>
      </c>
    </row>
    <row r="12" spans="1:99" ht="21" thickBot="1" x14ac:dyDescent="0.35">
      <c r="A12" s="4" t="s">
        <v>92</v>
      </c>
      <c r="B12" s="4" t="s">
        <v>96</v>
      </c>
      <c r="C12" s="4" t="s">
        <v>111</v>
      </c>
      <c r="D12" s="7" t="s">
        <v>28</v>
      </c>
      <c r="E12" s="7" t="s">
        <v>29</v>
      </c>
      <c r="F12" s="7"/>
      <c r="G12" s="8">
        <v>0.32532219000000001</v>
      </c>
      <c r="H12" s="9">
        <v>3.0705817999999998</v>
      </c>
      <c r="I12" s="9">
        <v>4025</v>
      </c>
      <c r="J12" s="9">
        <v>13108.3</v>
      </c>
      <c r="K12" s="8">
        <v>10.594806159999999</v>
      </c>
      <c r="L12" s="8">
        <v>0.53168484999999999</v>
      </c>
      <c r="M12" s="9">
        <v>3.72456852</v>
      </c>
      <c r="N12" s="9">
        <v>6015</v>
      </c>
      <c r="O12" s="9">
        <v>16150.3</v>
      </c>
      <c r="P12" s="8">
        <v>14.27507224</v>
      </c>
      <c r="Q12" s="8">
        <v>0.52511121000000005</v>
      </c>
      <c r="R12" s="9">
        <v>3.5644963600000001</v>
      </c>
      <c r="S12" s="9">
        <v>2990</v>
      </c>
      <c r="T12" s="9">
        <v>8388.6</v>
      </c>
      <c r="U12" s="8">
        <v>14.73170837</v>
      </c>
      <c r="V12" s="5">
        <v>0.22139713999999999</v>
      </c>
      <c r="W12" s="6">
        <v>4.2819157299999997</v>
      </c>
      <c r="X12" s="6">
        <v>2773</v>
      </c>
      <c r="Y12" s="6">
        <v>3475.2</v>
      </c>
      <c r="Z12" s="5">
        <v>5.67051602</v>
      </c>
      <c r="AA12" s="5">
        <v>0.30129939</v>
      </c>
      <c r="AB12" s="6">
        <v>4.6679623799999996</v>
      </c>
      <c r="AC12" s="6">
        <v>3447</v>
      </c>
      <c r="AD12" s="6">
        <v>7284.6</v>
      </c>
      <c r="AE12" s="5">
        <v>6.2546232899999996</v>
      </c>
      <c r="AF12" s="5">
        <v>0.25410451000000001</v>
      </c>
      <c r="AG12" s="6">
        <v>3.89982936</v>
      </c>
      <c r="AH12" s="6">
        <v>1462</v>
      </c>
      <c r="AI12" s="6">
        <v>2749.2</v>
      </c>
      <c r="AJ12" s="5">
        <v>6.51578546</v>
      </c>
      <c r="AK12" s="5">
        <v>0.30405300000000002</v>
      </c>
      <c r="AL12" s="6">
        <v>5.2566730899999996</v>
      </c>
      <c r="AM12" s="6">
        <v>3808</v>
      </c>
      <c r="AN12" s="6">
        <v>7243.6</v>
      </c>
      <c r="AO12" s="5">
        <v>5.7841337499999996</v>
      </c>
      <c r="AP12" s="5">
        <v>0.94235838999999999</v>
      </c>
      <c r="AQ12" s="6">
        <v>6.4265469499999996</v>
      </c>
      <c r="AR12" s="6">
        <v>5061</v>
      </c>
      <c r="AS12" s="6">
        <v>6875</v>
      </c>
      <c r="AT12" s="5">
        <v>6.8832981699999998</v>
      </c>
      <c r="AU12" s="5">
        <v>0.39339384999999999</v>
      </c>
      <c r="AV12" s="6">
        <v>5.2751811200000001</v>
      </c>
      <c r="AW12" s="6">
        <v>2264</v>
      </c>
      <c r="AX12" s="6">
        <v>4291</v>
      </c>
      <c r="AY12" s="5">
        <v>7.4574472199999997</v>
      </c>
      <c r="BF12" s="24" t="s">
        <v>10</v>
      </c>
      <c r="BG12" s="24" t="s">
        <v>12</v>
      </c>
      <c r="BJ12" s="4" t="s">
        <v>112</v>
      </c>
      <c r="BK12" s="5">
        <v>0.23006673</v>
      </c>
      <c r="BL12">
        <f t="shared" si="0"/>
        <v>0.23006673</v>
      </c>
      <c r="BM12" s="4" t="s">
        <v>112</v>
      </c>
      <c r="BN12" s="5">
        <v>0.14217258999999999</v>
      </c>
      <c r="BO12">
        <f t="shared" si="1"/>
        <v>0.14217258999999999</v>
      </c>
      <c r="BP12" s="4" t="s">
        <v>112</v>
      </c>
      <c r="BQ12" s="5">
        <v>0.26592789999999999</v>
      </c>
      <c r="BR12">
        <f t="shared" si="2"/>
        <v>0.26592789999999999</v>
      </c>
      <c r="BS12" t="str">
        <v>ST3-Program 1</v>
      </c>
      <c r="BT12">
        <v>-0.39440435986251871</v>
      </c>
      <c r="BV12" t="str">
        <v>ST4 - Program 2</v>
      </c>
      <c r="BW12">
        <v>-0.55573823578822967</v>
      </c>
      <c r="BY12" t="str">
        <v>ST3-Program 1</v>
      </c>
      <c r="BZ12">
        <v>-0.39195944752184675</v>
      </c>
      <c r="CB12" t="str">
        <v>ST3-Program 1</v>
      </c>
      <c r="CC12">
        <v>-0.40620948583513822</v>
      </c>
      <c r="CE12" t="str">
        <v>ST3-Program 1</v>
      </c>
      <c r="CF12">
        <v>-0.39449090014756516</v>
      </c>
      <c r="CH12" t="str">
        <v>ST4 - Program 2</v>
      </c>
      <c r="CI12">
        <v>-0.5507765830346476</v>
      </c>
      <c r="CK12" t="str">
        <v>ST3-Program 2</v>
      </c>
      <c r="CL12">
        <v>-0.68770408484532286</v>
      </c>
      <c r="CN12" t="str">
        <v>ST3-Program 2</v>
      </c>
      <c r="CO12">
        <v>-0.73491188418191267</v>
      </c>
      <c r="CQ12" t="str">
        <v>ST3-Program 2</v>
      </c>
      <c r="CR12">
        <v>-0.68770169565604899</v>
      </c>
      <c r="CT12" t="str">
        <v>ST3-Program 2</v>
      </c>
      <c r="CU12">
        <v>-0.73785642566544607</v>
      </c>
    </row>
    <row r="13" spans="1:99" ht="21" thickBot="1" x14ac:dyDescent="0.35">
      <c r="A13" s="4" t="s">
        <v>92</v>
      </c>
      <c r="B13" s="4" t="s">
        <v>96</v>
      </c>
      <c r="C13" s="4" t="s">
        <v>112</v>
      </c>
      <c r="D13" s="4" t="s">
        <v>29</v>
      </c>
      <c r="E13" s="4" t="s">
        <v>30</v>
      </c>
      <c r="F13" s="4"/>
      <c r="G13" s="5">
        <v>0.33897359999999999</v>
      </c>
      <c r="H13" s="6">
        <v>3.1178167299999999</v>
      </c>
      <c r="I13" s="6">
        <v>4194</v>
      </c>
      <c r="J13" s="6">
        <v>13451.4</v>
      </c>
      <c r="K13" s="5">
        <v>10.87214636</v>
      </c>
      <c r="L13" s="5">
        <v>0.51786299999999996</v>
      </c>
      <c r="M13" s="6">
        <v>3.5559295099999999</v>
      </c>
      <c r="N13" s="6">
        <v>5859</v>
      </c>
      <c r="O13" s="6">
        <v>16476.400000000001</v>
      </c>
      <c r="P13" s="5">
        <v>14.563365129999999</v>
      </c>
      <c r="Q13" s="5">
        <v>0.51205276</v>
      </c>
      <c r="R13" s="6">
        <v>3.4517034600000001</v>
      </c>
      <c r="S13" s="6">
        <v>2916</v>
      </c>
      <c r="T13" s="6">
        <v>8447.2999999999993</v>
      </c>
      <c r="U13" s="5">
        <v>14.83478421</v>
      </c>
      <c r="V13" s="5">
        <v>0.10202774000000001</v>
      </c>
      <c r="W13" s="6">
        <v>1.9707520199999999</v>
      </c>
      <c r="X13" s="6">
        <v>1278</v>
      </c>
      <c r="Y13" s="6">
        <v>6483.4</v>
      </c>
      <c r="Z13" s="5">
        <v>4.1770967499999996</v>
      </c>
      <c r="AA13" s="5">
        <v>0.15140795000000001</v>
      </c>
      <c r="AB13" s="6">
        <v>2.3440395399999998</v>
      </c>
      <c r="AC13" s="6">
        <v>1732</v>
      </c>
      <c r="AD13" s="6">
        <v>7389.9</v>
      </c>
      <c r="AE13" s="5">
        <v>6.4592744099999999</v>
      </c>
      <c r="AF13" s="5">
        <v>0.15822606</v>
      </c>
      <c r="AG13" s="6">
        <v>2.3839425699999999</v>
      </c>
      <c r="AH13" s="6">
        <v>1910</v>
      </c>
      <c r="AI13" s="6">
        <v>3819</v>
      </c>
      <c r="AJ13" s="5">
        <v>5.6371590899999999</v>
      </c>
      <c r="AK13" s="5">
        <v>0.14217258999999999</v>
      </c>
      <c r="AL13" s="6">
        <v>2.4801975000000001</v>
      </c>
      <c r="AM13" s="6">
        <v>1780</v>
      </c>
      <c r="AN13" s="6">
        <v>6178.7</v>
      </c>
      <c r="AO13" s="5">
        <v>5.7323092500000001</v>
      </c>
      <c r="AP13" s="5">
        <v>0.23006673</v>
      </c>
      <c r="AQ13" s="6">
        <v>3.3503788999999999</v>
      </c>
      <c r="AR13" s="6">
        <v>2632</v>
      </c>
      <c r="AS13" s="6">
        <v>7856.3</v>
      </c>
      <c r="AT13" s="5">
        <v>6.8668869499999996</v>
      </c>
      <c r="AU13" s="5">
        <v>0.26592789999999999</v>
      </c>
      <c r="AV13" s="6">
        <v>3.6182799299999999</v>
      </c>
      <c r="AW13" s="6">
        <v>1530</v>
      </c>
      <c r="AX13" s="6">
        <v>4229</v>
      </c>
      <c r="AY13" s="5">
        <v>7.34956692</v>
      </c>
      <c r="BJ13" s="4"/>
      <c r="BK13" s="5"/>
      <c r="BL13" t="str">
        <f t="shared" si="0"/>
        <v/>
      </c>
      <c r="BM13" s="4"/>
      <c r="BN13" s="5"/>
      <c r="BO13" t="str">
        <f t="shared" si="1"/>
        <v/>
      </c>
      <c r="BP13" s="4"/>
      <c r="BQ13" s="5"/>
      <c r="BR13" t="str">
        <f t="shared" si="2"/>
        <v/>
      </c>
    </row>
    <row r="14" spans="1:99" x14ac:dyDescent="0.3">
      <c r="BF14" s="23" t="s">
        <v>45</v>
      </c>
      <c r="BJ14" s="4"/>
      <c r="BK14" s="5"/>
      <c r="BL14" t="str">
        <f t="shared" si="0"/>
        <v/>
      </c>
      <c r="BM14" s="4"/>
      <c r="BN14" s="5"/>
      <c r="BO14" t="str">
        <f t="shared" si="1"/>
        <v/>
      </c>
      <c r="BP14" s="4"/>
      <c r="BQ14" s="5"/>
      <c r="BR14" t="str">
        <f t="shared" si="2"/>
        <v/>
      </c>
    </row>
    <row r="15" spans="1:99" ht="15" thickBot="1" x14ac:dyDescent="0.35">
      <c r="BF15" s="24" t="str">
        <f>'Ratings Dashboard'!R30</f>
        <v>P25-54</v>
      </c>
      <c r="BJ15" s="4"/>
      <c r="BK15" s="5"/>
      <c r="BL15" t="str">
        <f t="shared" si="0"/>
        <v/>
      </c>
      <c r="BM15" s="4"/>
      <c r="BN15" s="5"/>
      <c r="BO15" t="str">
        <f t="shared" si="1"/>
        <v/>
      </c>
      <c r="BP15" s="4"/>
      <c r="BQ15" s="5"/>
      <c r="BR15" t="str">
        <f t="shared" si="2"/>
        <v/>
      </c>
    </row>
    <row r="16" spans="1:99" x14ac:dyDescent="0.3">
      <c r="A16" t="s">
        <v>51</v>
      </c>
      <c r="I16" t="s">
        <v>55</v>
      </c>
      <c r="Q16" t="s">
        <v>56</v>
      </c>
      <c r="Y16" t="s">
        <v>43</v>
      </c>
      <c r="AG16" t="s">
        <v>44</v>
      </c>
      <c r="BJ16" s="4"/>
      <c r="BK16" s="5"/>
      <c r="BL16" t="str">
        <f t="shared" si="0"/>
        <v/>
      </c>
      <c r="BM16" s="4"/>
      <c r="BN16" s="5"/>
      <c r="BO16" t="str">
        <f t="shared" si="1"/>
        <v/>
      </c>
      <c r="BP16" s="4"/>
      <c r="BQ16" s="5"/>
      <c r="BR16" t="str">
        <f t="shared" si="2"/>
        <v/>
      </c>
    </row>
    <row r="17" spans="1:70" x14ac:dyDescent="0.3">
      <c r="BJ17" s="4"/>
      <c r="BK17" s="5"/>
      <c r="BL17" t="str">
        <f t="shared" si="0"/>
        <v/>
      </c>
      <c r="BM17" s="4"/>
      <c r="BN17" s="5"/>
      <c r="BO17" t="str">
        <f t="shared" si="1"/>
        <v/>
      </c>
      <c r="BP17" s="4"/>
      <c r="BQ17" s="5"/>
      <c r="BR17" t="str">
        <f t="shared" si="2"/>
        <v/>
      </c>
    </row>
    <row r="18" spans="1:70" x14ac:dyDescent="0.3">
      <c r="A18" t="s">
        <v>41</v>
      </c>
      <c r="B18" t="s">
        <v>45</v>
      </c>
      <c r="C18" t="s">
        <v>61</v>
      </c>
      <c r="D18" t="s">
        <v>62</v>
      </c>
      <c r="E18" t="s">
        <v>60</v>
      </c>
      <c r="F18" t="s">
        <v>63</v>
      </c>
      <c r="G18" t="s">
        <v>64</v>
      </c>
      <c r="I18" t="s">
        <v>41</v>
      </c>
      <c r="J18" t="s">
        <v>45</v>
      </c>
      <c r="K18" t="s">
        <v>61</v>
      </c>
      <c r="L18" t="s">
        <v>62</v>
      </c>
      <c r="M18" t="s">
        <v>60</v>
      </c>
      <c r="N18" t="s">
        <v>63</v>
      </c>
      <c r="O18" t="s">
        <v>64</v>
      </c>
      <c r="Q18" t="s">
        <v>41</v>
      </c>
      <c r="R18" t="s">
        <v>45</v>
      </c>
      <c r="S18" t="s">
        <v>61</v>
      </c>
      <c r="T18" t="s">
        <v>62</v>
      </c>
      <c r="U18" t="s">
        <v>60</v>
      </c>
      <c r="V18" t="s">
        <v>63</v>
      </c>
      <c r="W18" t="s">
        <v>64</v>
      </c>
      <c r="Y18" t="s">
        <v>41</v>
      </c>
      <c r="Z18" t="s">
        <v>45</v>
      </c>
      <c r="AA18" t="s">
        <v>61</v>
      </c>
      <c r="AB18" t="s">
        <v>62</v>
      </c>
      <c r="AC18" t="s">
        <v>60</v>
      </c>
      <c r="AD18" t="s">
        <v>63</v>
      </c>
      <c r="AE18" t="s">
        <v>64</v>
      </c>
      <c r="AG18" t="s">
        <v>41</v>
      </c>
      <c r="AH18" t="s">
        <v>45</v>
      </c>
      <c r="AI18" t="s">
        <v>61</v>
      </c>
      <c r="AJ18" t="s">
        <v>62</v>
      </c>
      <c r="AK18" t="s">
        <v>60</v>
      </c>
      <c r="AL18" t="s">
        <v>63</v>
      </c>
      <c r="AM18" t="s">
        <v>64</v>
      </c>
      <c r="BE18" s="21"/>
      <c r="BF18" s="21" t="s">
        <v>63</v>
      </c>
      <c r="BH18" t="s">
        <v>64</v>
      </c>
      <c r="BJ18" s="4"/>
      <c r="BK18" s="5"/>
      <c r="BL18" t="str">
        <f t="shared" si="0"/>
        <v/>
      </c>
      <c r="BM18" s="4"/>
      <c r="BN18" s="5"/>
      <c r="BO18" t="str">
        <f t="shared" si="1"/>
        <v/>
      </c>
      <c r="BP18" s="4"/>
      <c r="BQ18" s="5"/>
      <c r="BR18" t="str">
        <f t="shared" si="2"/>
        <v/>
      </c>
    </row>
    <row r="19" spans="1:70" x14ac:dyDescent="0.3">
      <c r="A19" s="4" t="s">
        <v>117</v>
      </c>
      <c r="B19" t="s">
        <v>10</v>
      </c>
      <c r="C19" s="5">
        <v>0.47074286999999998</v>
      </c>
      <c r="D19" s="5">
        <v>0.93863563000000005</v>
      </c>
      <c r="E19" s="5">
        <v>0.64755843000000002</v>
      </c>
      <c r="F19">
        <f t="shared" ref="F19:F48" si="3">(E19-D19)/D19</f>
        <v>-0.3101067024272241</v>
      </c>
      <c r="G19">
        <f t="shared" ref="G19:G48" si="4">(E19-C19)/C19</f>
        <v>0.37560964014176157</v>
      </c>
      <c r="I19" s="4" t="s">
        <v>117</v>
      </c>
      <c r="J19" t="s">
        <v>10</v>
      </c>
      <c r="K19" s="6">
        <v>8.0908352000000008</v>
      </c>
      <c r="L19" s="6">
        <v>12.257626719999999</v>
      </c>
      <c r="M19" s="6">
        <v>8.4686743100000008</v>
      </c>
      <c r="N19">
        <f t="shared" ref="N19:N48" si="5">(M19-L19)/L19</f>
        <v>-0.30910978907668996</v>
      </c>
      <c r="O19">
        <f t="shared" ref="O19:O48" si="6">(M19-K19)/K19</f>
        <v>4.6699642331115579E-2</v>
      </c>
      <c r="Q19" s="4" t="s">
        <v>117</v>
      </c>
      <c r="R19" t="s">
        <v>10</v>
      </c>
      <c r="S19" s="6">
        <v>5587</v>
      </c>
      <c r="T19" s="6">
        <v>11755</v>
      </c>
      <c r="U19" s="6">
        <v>8110</v>
      </c>
      <c r="V19">
        <f t="shared" ref="V19:V48" si="7">(U19-T19)/T19</f>
        <v>-0.31008081667375587</v>
      </c>
      <c r="W19">
        <f t="shared" ref="W19:W48" si="8">(U19-S19)/S19</f>
        <v>0.45158403436549133</v>
      </c>
      <c r="Y19" s="4" t="s">
        <v>117</v>
      </c>
      <c r="Z19" t="s">
        <v>10</v>
      </c>
      <c r="AA19" s="6">
        <v>5968.9</v>
      </c>
      <c r="AB19" s="6">
        <v>9589.7999999999993</v>
      </c>
      <c r="AC19" s="6">
        <v>9576</v>
      </c>
      <c r="AD19">
        <f t="shared" ref="AD19:AD48" si="9">(AC19-AB19)/AB19</f>
        <v>-1.4390289682787204E-3</v>
      </c>
      <c r="AE19">
        <f t="shared" ref="AE19:AE48" si="10">(AC19-AA19)/AA19</f>
        <v>0.60431570306086557</v>
      </c>
      <c r="AG19" s="4" t="s">
        <v>117</v>
      </c>
      <c r="AH19" t="s">
        <v>10</v>
      </c>
      <c r="AI19" s="5">
        <v>4.2284795500000003</v>
      </c>
      <c r="AJ19" s="5">
        <v>7.6575641699999997</v>
      </c>
      <c r="AK19" s="5">
        <v>7.6465147800000004</v>
      </c>
      <c r="AL19">
        <f t="shared" ref="AL19:AL48" si="11">(AK19-AJ19)/AJ19</f>
        <v>-1.4429379571231555E-3</v>
      </c>
      <c r="AM19">
        <f t="shared" ref="AM19:AM48" si="12">(AK19-AI19)/AI19</f>
        <v>0.80833670580244377</v>
      </c>
      <c r="BE19" t="str" cm="1">
        <f t="array" ref="BE19:BE59">_xlfn.XLOOKUP(BU35:BU75,BS3:BS34,BS3:BS34)</f>
        <v>ST1-Program 1</v>
      </c>
      <c r="BF19" cm="1">
        <f t="array" ref="BF19:BF59">_xlfn.XLOOKUP(BU35:BU75,BS3:BS34,BT3:BT34)</f>
        <v>-0.29627358781206325</v>
      </c>
      <c r="BG19" t="str" cm="1">
        <f t="array" ref="BG19:BG59">_xlfn.XLOOKUP(BU35:BU75,BV3:BV34,BV3:BV34)</f>
        <v>ST1-Program 1</v>
      </c>
      <c r="BH19" cm="1">
        <f t="array" ref="BH19:BH59">_xlfn.XLOOKUP(BU35:BU75,BV3:BV34,BW3:BW34)</f>
        <v>2.7217711281148717E-2</v>
      </c>
      <c r="BL19" t="str">
        <f t="shared" si="0"/>
        <v/>
      </c>
      <c r="BM19" s="4"/>
      <c r="BN19" s="5"/>
      <c r="BO19" t="str">
        <f t="shared" si="1"/>
        <v/>
      </c>
      <c r="BP19" s="4"/>
      <c r="BQ19" s="5"/>
      <c r="BR19" t="str">
        <f t="shared" si="2"/>
        <v/>
      </c>
    </row>
    <row r="20" spans="1:70" x14ac:dyDescent="0.3">
      <c r="A20" s="4" t="s">
        <v>118</v>
      </c>
      <c r="B20" t="s">
        <v>10</v>
      </c>
      <c r="C20" s="5">
        <v>0.28718473</v>
      </c>
      <c r="D20" s="5">
        <v>1.1530855200000001</v>
      </c>
      <c r="E20" s="5">
        <v>1.1552457</v>
      </c>
      <c r="F20">
        <f t="shared" si="3"/>
        <v>1.8733909693011805E-3</v>
      </c>
      <c r="G20">
        <f t="shared" si="4"/>
        <v>3.0226571238658826</v>
      </c>
      <c r="I20" s="4" t="s">
        <v>118</v>
      </c>
      <c r="J20" t="s">
        <v>10</v>
      </c>
      <c r="K20" s="6">
        <v>10.73836369</v>
      </c>
      <c r="L20" s="6">
        <v>12.81384446</v>
      </c>
      <c r="M20" s="6">
        <v>12.82558184</v>
      </c>
      <c r="N20">
        <f t="shared" si="5"/>
        <v>9.159920769008285E-4</v>
      </c>
      <c r="O20">
        <f t="shared" si="6"/>
        <v>0.19437022345813285</v>
      </c>
      <c r="Q20" s="4" t="s">
        <v>118</v>
      </c>
      <c r="R20" t="s">
        <v>10</v>
      </c>
      <c r="S20" s="6">
        <v>3753</v>
      </c>
      <c r="T20" s="6">
        <v>14440</v>
      </c>
      <c r="U20" s="6">
        <v>14468</v>
      </c>
      <c r="V20">
        <f t="shared" si="7"/>
        <v>1.9390581717451524E-3</v>
      </c>
      <c r="W20">
        <f t="shared" si="8"/>
        <v>2.8550492938982148</v>
      </c>
      <c r="Y20" s="4" t="s">
        <v>118</v>
      </c>
      <c r="Z20" t="s">
        <v>10</v>
      </c>
      <c r="AA20" s="6">
        <v>3789.3</v>
      </c>
      <c r="AB20" s="6">
        <v>11269.4</v>
      </c>
      <c r="AC20" s="6">
        <v>11280.2</v>
      </c>
      <c r="AD20">
        <f t="shared" si="9"/>
        <v>9.5834738317932564E-4</v>
      </c>
      <c r="AE20">
        <f t="shared" si="10"/>
        <v>1.9768558836724461</v>
      </c>
      <c r="AG20" s="4" t="s">
        <v>118</v>
      </c>
      <c r="AH20" t="s">
        <v>10</v>
      </c>
      <c r="AI20" s="5">
        <v>2.9544868200000001</v>
      </c>
      <c r="AJ20" s="5">
        <v>8.99874756</v>
      </c>
      <c r="AK20" s="5">
        <v>9.00735508</v>
      </c>
      <c r="AL20">
        <f t="shared" si="11"/>
        <v>9.5652422102170619E-4</v>
      </c>
      <c r="AM20">
        <f t="shared" si="12"/>
        <v>2.0487037610139009</v>
      </c>
      <c r="BE20" t="str">
        <v xml:space="preserve">ST1-Program 2 </v>
      </c>
      <c r="BF20">
        <v>-2.9575789955860292E-2</v>
      </c>
      <c r="BG20" t="str">
        <v xml:space="preserve">ST1-Program 2 </v>
      </c>
      <c r="BH20">
        <v>2.0225641054381303</v>
      </c>
      <c r="BL20" t="str">
        <f t="shared" si="0"/>
        <v/>
      </c>
      <c r="BM20" s="4"/>
      <c r="BN20" s="5"/>
      <c r="BO20" t="str">
        <f t="shared" si="1"/>
        <v/>
      </c>
      <c r="BP20" s="4"/>
      <c r="BQ20" s="5"/>
      <c r="BR20" t="str">
        <f t="shared" si="2"/>
        <v/>
      </c>
    </row>
    <row r="21" spans="1:70" x14ac:dyDescent="0.3">
      <c r="A21" s="4" t="s">
        <v>119</v>
      </c>
      <c r="B21" t="s">
        <v>10</v>
      </c>
      <c r="C21" s="5">
        <v>1.01541149</v>
      </c>
      <c r="D21" s="5">
        <v>0.80526675999999997</v>
      </c>
      <c r="E21" s="5">
        <v>0.77006293000000003</v>
      </c>
      <c r="F21">
        <f t="shared" si="3"/>
        <v>-4.3716978954899288E-2</v>
      </c>
      <c r="G21">
        <f t="shared" si="4"/>
        <v>-0.24162476239066386</v>
      </c>
      <c r="I21" s="4" t="s">
        <v>119</v>
      </c>
      <c r="J21" t="s">
        <v>10</v>
      </c>
      <c r="K21" s="6">
        <v>9.0596655599999991</v>
      </c>
      <c r="L21" s="6">
        <v>8.2927637900000004</v>
      </c>
      <c r="M21" s="6">
        <v>7.9551219499999997</v>
      </c>
      <c r="N21">
        <f t="shared" si="5"/>
        <v>-4.0715236626799031E-2</v>
      </c>
      <c r="O21">
        <f t="shared" si="6"/>
        <v>-0.12191880623902408</v>
      </c>
      <c r="Q21" s="4" t="s">
        <v>119</v>
      </c>
      <c r="R21" t="s">
        <v>10</v>
      </c>
      <c r="S21" s="6">
        <v>12563</v>
      </c>
      <c r="T21" s="6">
        <v>10085</v>
      </c>
      <c r="U21" s="6">
        <v>9644</v>
      </c>
      <c r="V21">
        <f t="shared" si="7"/>
        <v>-4.3728309370352006E-2</v>
      </c>
      <c r="W21">
        <f t="shared" si="8"/>
        <v>-0.23234896123537371</v>
      </c>
      <c r="Y21" s="4" t="s">
        <v>119</v>
      </c>
      <c r="Z21" t="s">
        <v>10</v>
      </c>
      <c r="AA21" s="6">
        <v>13867</v>
      </c>
      <c r="AB21" s="6">
        <v>10160.700000000001</v>
      </c>
      <c r="AC21" s="6">
        <v>12122.7</v>
      </c>
      <c r="AD21">
        <f t="shared" si="9"/>
        <v>0.19309693229797159</v>
      </c>
      <c r="AE21">
        <f t="shared" si="10"/>
        <v>-0.1257878416384221</v>
      </c>
      <c r="AG21" s="4" t="s">
        <v>119</v>
      </c>
      <c r="AH21" t="s">
        <v>10</v>
      </c>
      <c r="AI21" s="5">
        <v>11.208046039999999</v>
      </c>
      <c r="AJ21" s="5">
        <v>9.7104750600000003</v>
      </c>
      <c r="AK21" s="5">
        <v>9.6800896200000004</v>
      </c>
      <c r="AL21">
        <f t="shared" si="11"/>
        <v>-3.1291404192123917E-3</v>
      </c>
      <c r="AM21">
        <f t="shared" si="12"/>
        <v>-0.13632674371134176</v>
      </c>
      <c r="BE21" t="str">
        <v xml:space="preserve">ST1-Program 3 </v>
      </c>
      <c r="BF21">
        <v>-6.5969102165149424E-2</v>
      </c>
      <c r="BG21" t="str">
        <v xml:space="preserve">ST1-Program 3 </v>
      </c>
      <c r="BH21">
        <v>-0.3940983426800132</v>
      </c>
      <c r="BL21" t="str">
        <f t="shared" si="0"/>
        <v/>
      </c>
      <c r="BM21" s="4"/>
      <c r="BN21" s="5"/>
      <c r="BO21" t="str">
        <f t="shared" si="1"/>
        <v/>
      </c>
      <c r="BP21" s="4"/>
      <c r="BQ21" s="5"/>
      <c r="BR21" t="str">
        <f t="shared" si="2"/>
        <v/>
      </c>
    </row>
    <row r="22" spans="1:70" x14ac:dyDescent="0.3">
      <c r="A22" s="4" t="s">
        <v>102</v>
      </c>
      <c r="B22" t="s">
        <v>10</v>
      </c>
      <c r="C22" s="5">
        <v>0.2414616</v>
      </c>
      <c r="D22" s="5">
        <v>0.43711686</v>
      </c>
      <c r="E22" s="5">
        <v>0.34059085</v>
      </c>
      <c r="F22">
        <f t="shared" si="3"/>
        <v>-0.2208242665359556</v>
      </c>
      <c r="G22">
        <f t="shared" si="4"/>
        <v>0.41053836303577879</v>
      </c>
      <c r="I22" s="4" t="s">
        <v>102</v>
      </c>
      <c r="J22" t="s">
        <v>10</v>
      </c>
      <c r="K22" s="6">
        <v>3.1218023499999998</v>
      </c>
      <c r="L22" s="6">
        <v>7.2452470099999999</v>
      </c>
      <c r="M22" s="6">
        <v>11.433205259999999</v>
      </c>
      <c r="N22">
        <f t="shared" si="5"/>
        <v>0.57802836041610672</v>
      </c>
      <c r="O22">
        <f t="shared" si="6"/>
        <v>2.6623731992513879</v>
      </c>
      <c r="Q22" s="4" t="s">
        <v>102</v>
      </c>
      <c r="R22" t="s">
        <v>10</v>
      </c>
      <c r="S22" s="6">
        <v>2987</v>
      </c>
      <c r="T22" s="6">
        <v>5474</v>
      </c>
      <c r="U22" s="6">
        <v>3897</v>
      </c>
      <c r="V22">
        <f t="shared" si="7"/>
        <v>-0.28808914870295943</v>
      </c>
      <c r="W22">
        <f t="shared" si="8"/>
        <v>0.30465349849347173</v>
      </c>
      <c r="Y22" s="4" t="s">
        <v>102</v>
      </c>
      <c r="Z22" t="s">
        <v>10</v>
      </c>
      <c r="AA22" s="6">
        <v>9569.6</v>
      </c>
      <c r="AB22" s="6">
        <v>7555.5</v>
      </c>
      <c r="AC22" s="6">
        <v>3408.2</v>
      </c>
      <c r="AD22">
        <f t="shared" si="9"/>
        <v>-0.54891138905433134</v>
      </c>
      <c r="AE22">
        <f t="shared" si="10"/>
        <v>-0.6438513626483866</v>
      </c>
      <c r="AG22" s="4" t="s">
        <v>102</v>
      </c>
      <c r="AH22" t="s">
        <v>10</v>
      </c>
      <c r="AI22" s="5">
        <v>7.73468556</v>
      </c>
      <c r="AJ22" s="5">
        <v>6.0331533799999999</v>
      </c>
      <c r="AK22" s="5">
        <v>2.9789620999999999</v>
      </c>
      <c r="AL22">
        <f t="shared" si="11"/>
        <v>-0.50623464838879995</v>
      </c>
      <c r="AM22">
        <f t="shared" si="12"/>
        <v>-0.61485672857785834</v>
      </c>
      <c r="BE22" t="str">
        <v>ST2-Program 1</v>
      </c>
      <c r="BF22">
        <v>0.11047231036413079</v>
      </c>
      <c r="BG22" t="str">
        <v>ST2-Program 1</v>
      </c>
      <c r="BH22">
        <v>0.80119785638735908</v>
      </c>
      <c r="BL22" t="str">
        <f t="shared" si="0"/>
        <v/>
      </c>
      <c r="BM22" s="4"/>
      <c r="BN22" s="5"/>
      <c r="BO22" t="str">
        <f t="shared" si="1"/>
        <v/>
      </c>
      <c r="BP22" s="4"/>
      <c r="BQ22" s="5"/>
      <c r="BR22" t="str">
        <f t="shared" si="2"/>
        <v/>
      </c>
    </row>
    <row r="23" spans="1:70" x14ac:dyDescent="0.3">
      <c r="A23" s="4" t="s">
        <v>103</v>
      </c>
      <c r="B23" t="s">
        <v>10</v>
      </c>
      <c r="C23" s="5">
        <v>0.52071352999999998</v>
      </c>
      <c r="D23" s="5">
        <v>0.64310473999999995</v>
      </c>
      <c r="E23" s="5">
        <v>0.44789340999999999</v>
      </c>
      <c r="F23">
        <f t="shared" si="3"/>
        <v>-0.30354515813396116</v>
      </c>
      <c r="G23">
        <f t="shared" si="4"/>
        <v>-0.13984679829617638</v>
      </c>
      <c r="I23" s="4" t="s">
        <v>103</v>
      </c>
      <c r="J23" t="s">
        <v>10</v>
      </c>
      <c r="K23" s="6">
        <v>5.9709536500000002</v>
      </c>
      <c r="L23" s="6">
        <v>8.3982938100000002</v>
      </c>
      <c r="M23" s="6">
        <v>13.02064805</v>
      </c>
      <c r="N23">
        <f t="shared" si="5"/>
        <v>0.55039206112271033</v>
      </c>
      <c r="O23">
        <f t="shared" si="6"/>
        <v>1.1806647335137159</v>
      </c>
      <c r="Q23" s="4" t="s">
        <v>103</v>
      </c>
      <c r="R23" t="s">
        <v>10</v>
      </c>
      <c r="S23" s="6">
        <v>6442</v>
      </c>
      <c r="T23" s="6">
        <v>8054</v>
      </c>
      <c r="U23" s="6">
        <v>5124</v>
      </c>
      <c r="V23">
        <f t="shared" si="7"/>
        <v>-0.36379438788179785</v>
      </c>
      <c r="W23">
        <f t="shared" si="8"/>
        <v>-0.20459484632101832</v>
      </c>
      <c r="Y23" s="4" t="s">
        <v>103</v>
      </c>
      <c r="Z23" t="s">
        <v>10</v>
      </c>
      <c r="AA23" s="6">
        <v>10789.6</v>
      </c>
      <c r="AB23" s="6">
        <v>9589.7999999999993</v>
      </c>
      <c r="AC23" s="6">
        <v>3935.5</v>
      </c>
      <c r="AD23">
        <f t="shared" si="9"/>
        <v>-0.58961605038686937</v>
      </c>
      <c r="AE23">
        <f t="shared" si="10"/>
        <v>-0.63525061170015573</v>
      </c>
      <c r="AG23" s="4" t="s">
        <v>103</v>
      </c>
      <c r="AH23" t="s">
        <v>10</v>
      </c>
      <c r="AI23" s="5">
        <v>8.7207765699999999</v>
      </c>
      <c r="AJ23" s="5">
        <v>7.6575641699999997</v>
      </c>
      <c r="AK23" s="5">
        <v>3.43987036</v>
      </c>
      <c r="AL23">
        <f t="shared" si="11"/>
        <v>-0.55078791589153608</v>
      </c>
      <c r="AM23">
        <f t="shared" si="12"/>
        <v>-0.60555458193558553</v>
      </c>
      <c r="BE23" t="str">
        <v>ST2-Program 2</v>
      </c>
      <c r="BF23">
        <v>-2.8480382326062439E-2</v>
      </c>
      <c r="BG23" t="str">
        <v>ST2-Program 2</v>
      </c>
      <c r="BH23">
        <v>0.14996073915061689</v>
      </c>
      <c r="BM23" s="4"/>
      <c r="BN23" s="5"/>
      <c r="BO23" t="str">
        <f t="shared" si="1"/>
        <v/>
      </c>
      <c r="BP23" s="4"/>
      <c r="BQ23" s="5"/>
      <c r="BR23" t="str">
        <f t="shared" si="2"/>
        <v/>
      </c>
    </row>
    <row r="24" spans="1:70" x14ac:dyDescent="0.3">
      <c r="A24" s="4" t="s">
        <v>104</v>
      </c>
      <c r="B24" t="s">
        <v>10</v>
      </c>
      <c r="C24" s="5">
        <v>0.58678222000000002</v>
      </c>
      <c r="D24" s="5">
        <v>0.76863612000000003</v>
      </c>
      <c r="E24" s="5">
        <v>0.65330684000000006</v>
      </c>
      <c r="F24">
        <f t="shared" si="3"/>
        <v>-0.15004405465618761</v>
      </c>
      <c r="G24">
        <f t="shared" si="4"/>
        <v>0.11337190823539274</v>
      </c>
      <c r="I24" s="4" t="s">
        <v>104</v>
      </c>
      <c r="J24" t="s">
        <v>10</v>
      </c>
      <c r="K24" s="6">
        <v>5.5383950500000001</v>
      </c>
      <c r="L24" s="6">
        <v>8.6445259199999995</v>
      </c>
      <c r="M24" s="6">
        <v>7.2246008799999997</v>
      </c>
      <c r="N24">
        <f t="shared" si="5"/>
        <v>-0.1642571325646508</v>
      </c>
      <c r="O24">
        <f t="shared" si="6"/>
        <v>0.30445748538649287</v>
      </c>
      <c r="Q24" s="4" t="s">
        <v>104</v>
      </c>
      <c r="R24" t="s">
        <v>10</v>
      </c>
      <c r="S24" s="6">
        <v>7260</v>
      </c>
      <c r="T24" s="6">
        <v>9626</v>
      </c>
      <c r="U24" s="6">
        <v>8182</v>
      </c>
      <c r="V24">
        <f t="shared" si="7"/>
        <v>-0.15001038853106172</v>
      </c>
      <c r="W24">
        <f t="shared" si="8"/>
        <v>0.12699724517906336</v>
      </c>
      <c r="Y24" s="4" t="s">
        <v>104</v>
      </c>
      <c r="Z24" t="s">
        <v>10</v>
      </c>
      <c r="AA24" s="6">
        <v>13108.3</v>
      </c>
      <c r="AB24" s="6">
        <v>11135.2</v>
      </c>
      <c r="AC24" s="6">
        <v>11324.6</v>
      </c>
      <c r="AD24">
        <f t="shared" si="9"/>
        <v>1.7009124218693838E-2</v>
      </c>
      <c r="AE24">
        <f t="shared" si="10"/>
        <v>-0.13607409046176841</v>
      </c>
      <c r="AG24" s="4" t="s">
        <v>104</v>
      </c>
      <c r="AH24" t="s">
        <v>10</v>
      </c>
      <c r="AI24" s="5">
        <v>10.594806159999999</v>
      </c>
      <c r="AJ24" s="5">
        <v>8.8915936900000005</v>
      </c>
      <c r="AK24" s="5">
        <v>9.0428087700000006</v>
      </c>
      <c r="AL24">
        <f t="shared" si="11"/>
        <v>1.7006521583421572E-2</v>
      </c>
      <c r="AM24">
        <f t="shared" si="12"/>
        <v>-0.1464866243480191</v>
      </c>
      <c r="BE24" t="str">
        <v>ST2-Program 3</v>
      </c>
      <c r="BF24">
        <v>-1.954886117939594E-2</v>
      </c>
      <c r="BG24" t="str">
        <v>ST2-Program 3</v>
      </c>
      <c r="BH24">
        <v>0.14694158381970712</v>
      </c>
      <c r="BM24" s="4"/>
      <c r="BN24" s="5"/>
      <c r="BO24" t="str">
        <f t="shared" si="1"/>
        <v/>
      </c>
      <c r="BP24" s="4"/>
      <c r="BQ24" s="5"/>
      <c r="BR24" t="str">
        <f t="shared" si="2"/>
        <v/>
      </c>
    </row>
    <row r="25" spans="1:70" x14ac:dyDescent="0.3">
      <c r="A25" s="4" t="s">
        <v>120</v>
      </c>
      <c r="B25" t="s">
        <v>10</v>
      </c>
      <c r="C25" s="5">
        <v>0.24151797999999999</v>
      </c>
      <c r="D25" s="5">
        <v>0.37139583999999998</v>
      </c>
      <c r="E25" s="5">
        <v>0.21276323999999999</v>
      </c>
      <c r="F25">
        <f t="shared" si="3"/>
        <v>-0.4271254088360279</v>
      </c>
      <c r="G25">
        <f t="shared" si="4"/>
        <v>-0.11905838232002439</v>
      </c>
      <c r="I25" s="4" t="s">
        <v>120</v>
      </c>
      <c r="J25" t="s">
        <v>10</v>
      </c>
      <c r="K25" s="6">
        <v>8.78704529</v>
      </c>
      <c r="L25" s="6">
        <v>3.84971094</v>
      </c>
      <c r="M25" s="6">
        <v>2.1965613400000001</v>
      </c>
      <c r="N25">
        <f t="shared" si="5"/>
        <v>-0.42942174770140012</v>
      </c>
      <c r="O25">
        <f t="shared" si="6"/>
        <v>-0.75002275878789737</v>
      </c>
      <c r="Q25" s="4" t="s">
        <v>120</v>
      </c>
      <c r="R25" t="s">
        <v>10</v>
      </c>
      <c r="S25" s="6">
        <v>914</v>
      </c>
      <c r="T25" s="6">
        <v>4651</v>
      </c>
      <c r="U25" s="6">
        <v>2665</v>
      </c>
      <c r="V25">
        <f t="shared" si="7"/>
        <v>-0.42700494517308107</v>
      </c>
      <c r="W25">
        <f t="shared" si="8"/>
        <v>1.9157549234135667</v>
      </c>
      <c r="Y25" s="4" t="s">
        <v>120</v>
      </c>
      <c r="Z25" t="s">
        <v>10</v>
      </c>
      <c r="AA25" s="6">
        <v>3874.4</v>
      </c>
      <c r="AB25" s="6">
        <v>10081.700000000001</v>
      </c>
      <c r="AC25" s="6">
        <v>12130.3</v>
      </c>
      <c r="AD25">
        <f t="shared" si="9"/>
        <v>0.20319985716694589</v>
      </c>
      <c r="AE25">
        <f t="shared" si="10"/>
        <v>2.1308847821598182</v>
      </c>
      <c r="AG25" s="4" t="s">
        <v>120</v>
      </c>
      <c r="AH25" t="s">
        <v>10</v>
      </c>
      <c r="AI25" s="5">
        <v>2.9232752899999999</v>
      </c>
      <c r="AJ25" s="5">
        <v>9.6473695900000003</v>
      </c>
      <c r="AK25" s="5">
        <v>9.6861961300000008</v>
      </c>
      <c r="AL25">
        <f t="shared" si="11"/>
        <v>4.0245726711088427E-3</v>
      </c>
      <c r="AM25">
        <f t="shared" si="12"/>
        <v>2.3134738158717858</v>
      </c>
      <c r="BE25" t="str">
        <v>ST3-Program 1</v>
      </c>
      <c r="BF25">
        <v>-0.39440435986251871</v>
      </c>
      <c r="BG25" t="str">
        <v>ST3-Program 1</v>
      </c>
      <c r="BH25">
        <v>-8.9063815163283128E-2</v>
      </c>
      <c r="BM25" s="4"/>
      <c r="BN25" s="5"/>
      <c r="BP25" s="4"/>
      <c r="BQ25" s="5"/>
    </row>
    <row r="26" spans="1:70" x14ac:dyDescent="0.3">
      <c r="A26" s="4" t="s">
        <v>121</v>
      </c>
      <c r="B26" t="s">
        <v>10</v>
      </c>
      <c r="C26" s="5">
        <v>0.24855721</v>
      </c>
      <c r="D26" s="5">
        <v>0.26519346999999999</v>
      </c>
      <c r="E26" s="5">
        <v>0.27971040000000003</v>
      </c>
      <c r="F26">
        <f t="shared" si="3"/>
        <v>5.4740902933997734E-2</v>
      </c>
      <c r="G26">
        <f t="shared" si="4"/>
        <v>0.12533609465603524</v>
      </c>
      <c r="I26" s="4" t="s">
        <v>121</v>
      </c>
      <c r="J26" t="s">
        <v>10</v>
      </c>
      <c r="K26" s="6">
        <v>2.8566099600000001</v>
      </c>
      <c r="L26" s="6">
        <v>3.46315697</v>
      </c>
      <c r="M26" s="6">
        <v>12.190296549999999</v>
      </c>
      <c r="N26">
        <f t="shared" si="5"/>
        <v>2.5199953844425362</v>
      </c>
      <c r="O26">
        <f t="shared" si="6"/>
        <v>3.267399722291803</v>
      </c>
      <c r="Q26" s="4" t="s">
        <v>121</v>
      </c>
      <c r="R26" t="s">
        <v>10</v>
      </c>
      <c r="S26" s="6">
        <v>3075</v>
      </c>
      <c r="T26" s="6">
        <v>3321</v>
      </c>
      <c r="U26" s="6">
        <v>3503</v>
      </c>
      <c r="V26">
        <f t="shared" si="7"/>
        <v>5.480277024992472E-2</v>
      </c>
      <c r="W26">
        <f t="shared" si="8"/>
        <v>0.1391869918699187</v>
      </c>
      <c r="Y26" s="4" t="s">
        <v>121</v>
      </c>
      <c r="Z26" t="s">
        <v>10</v>
      </c>
      <c r="AA26" s="6">
        <v>10765.3</v>
      </c>
      <c r="AB26" s="6">
        <v>9589.7999999999993</v>
      </c>
      <c r="AC26" s="6">
        <v>2873.5</v>
      </c>
      <c r="AD26">
        <f t="shared" si="9"/>
        <v>-0.70035871446745501</v>
      </c>
      <c r="AE26">
        <f t="shared" si="10"/>
        <v>-0.73307757331425971</v>
      </c>
      <c r="AG26" s="4" t="s">
        <v>121</v>
      </c>
      <c r="AH26" t="s">
        <v>10</v>
      </c>
      <c r="AI26" s="5">
        <v>8.7011253699999997</v>
      </c>
      <c r="AJ26" s="5">
        <v>7.6575641699999997</v>
      </c>
      <c r="AK26" s="5">
        <v>2.2945331499999999</v>
      </c>
      <c r="AL26">
        <f t="shared" si="11"/>
        <v>-0.70035730696331855</v>
      </c>
      <c r="AM26">
        <f t="shared" si="12"/>
        <v>-0.7362946685136661</v>
      </c>
      <c r="BE26" t="str">
        <v>ST3-Program 2</v>
      </c>
      <c r="BF26">
        <v>0.22003808057869767</v>
      </c>
      <c r="BG26" t="str">
        <v>ST3-Program 2</v>
      </c>
      <c r="BH26">
        <v>0.18629733642408092</v>
      </c>
      <c r="BM26" s="4"/>
      <c r="BN26" s="5"/>
      <c r="BP26" s="4"/>
      <c r="BQ26" s="5"/>
    </row>
    <row r="27" spans="1:70" x14ac:dyDescent="0.3">
      <c r="A27" s="4" t="s">
        <v>111</v>
      </c>
      <c r="B27" t="s">
        <v>10</v>
      </c>
      <c r="C27" s="8">
        <v>0.32532219000000001</v>
      </c>
      <c r="D27" s="5">
        <v>0.22139713999999999</v>
      </c>
      <c r="E27" s="5">
        <v>0.30405300000000002</v>
      </c>
      <c r="F27">
        <f t="shared" si="3"/>
        <v>0.3733375236915889</v>
      </c>
      <c r="G27">
        <f t="shared" si="4"/>
        <v>-6.5378847966073239E-2</v>
      </c>
      <c r="I27" s="4" t="s">
        <v>111</v>
      </c>
      <c r="J27" t="s">
        <v>10</v>
      </c>
      <c r="K27" s="9">
        <v>3.0705817999999998</v>
      </c>
      <c r="L27" s="6">
        <v>4.2819157299999997</v>
      </c>
      <c r="M27" s="6">
        <v>5.2566730899999996</v>
      </c>
      <c r="N27">
        <f t="shared" si="5"/>
        <v>0.22764515265226856</v>
      </c>
      <c r="O27">
        <f t="shared" si="6"/>
        <v>0.71194693136004383</v>
      </c>
      <c r="Q27" s="4" t="s">
        <v>111</v>
      </c>
      <c r="R27" t="s">
        <v>10</v>
      </c>
      <c r="S27" s="9">
        <v>4025</v>
      </c>
      <c r="T27" s="6">
        <v>2773</v>
      </c>
      <c r="U27" s="6">
        <v>3808</v>
      </c>
      <c r="V27">
        <f t="shared" si="7"/>
        <v>0.37324197619906241</v>
      </c>
      <c r="W27">
        <f t="shared" si="8"/>
        <v>-5.3913043478260869E-2</v>
      </c>
      <c r="Y27" s="4" t="s">
        <v>111</v>
      </c>
      <c r="Z27" t="s">
        <v>10</v>
      </c>
      <c r="AA27" s="9">
        <v>13108.3</v>
      </c>
      <c r="AB27" s="6">
        <v>3475.2</v>
      </c>
      <c r="AC27" s="6">
        <v>7243.6</v>
      </c>
      <c r="AD27">
        <f t="shared" si="9"/>
        <v>1.0843692449355435</v>
      </c>
      <c r="AE27">
        <f t="shared" si="10"/>
        <v>-0.44740355347375321</v>
      </c>
      <c r="AG27" s="4" t="s">
        <v>111</v>
      </c>
      <c r="AH27" t="s">
        <v>10</v>
      </c>
      <c r="AI27" s="8">
        <v>10.594806159999999</v>
      </c>
      <c r="AJ27" s="5">
        <v>5.67051602</v>
      </c>
      <c r="AK27" s="5">
        <v>5.7841337499999996</v>
      </c>
      <c r="AL27">
        <f t="shared" si="11"/>
        <v>2.0036576847551106E-2</v>
      </c>
      <c r="AM27">
        <f t="shared" si="12"/>
        <v>-0.45405950211362811</v>
      </c>
      <c r="BE27" t="str">
        <v>ST4 - Program 1</v>
      </c>
      <c r="BF27">
        <v>2.1276478521911382</v>
      </c>
      <c r="BG27" t="str">
        <v>ST4 - Program 1</v>
      </c>
      <c r="BH27">
        <v>0.77240030442845986</v>
      </c>
      <c r="BM27" s="4"/>
      <c r="BN27" s="5"/>
      <c r="BP27" s="4"/>
      <c r="BQ27" s="5"/>
    </row>
    <row r="28" spans="1:70" x14ac:dyDescent="0.3">
      <c r="A28" s="4" t="s">
        <v>112</v>
      </c>
      <c r="B28" t="s">
        <v>10</v>
      </c>
      <c r="C28" s="5">
        <v>0.33897359999999999</v>
      </c>
      <c r="D28" s="5">
        <v>0.10202774000000001</v>
      </c>
      <c r="E28" s="5">
        <v>0.14217258999999999</v>
      </c>
      <c r="F28">
        <f t="shared" si="3"/>
        <v>0.39346995238745835</v>
      </c>
      <c r="G28">
        <f t="shared" si="4"/>
        <v>-0.58057916604714943</v>
      </c>
      <c r="I28" s="4" t="s">
        <v>112</v>
      </c>
      <c r="J28" t="s">
        <v>10</v>
      </c>
      <c r="K28" s="6">
        <v>3.1178167299999999</v>
      </c>
      <c r="L28" s="6">
        <v>1.9707520199999999</v>
      </c>
      <c r="M28" s="6">
        <v>2.4801975000000001</v>
      </c>
      <c r="N28">
        <f t="shared" si="5"/>
        <v>0.25850308655271614</v>
      </c>
      <c r="O28">
        <f t="shared" si="6"/>
        <v>-0.20450824574284707</v>
      </c>
      <c r="Q28" s="4" t="s">
        <v>112</v>
      </c>
      <c r="R28" t="s">
        <v>10</v>
      </c>
      <c r="S28" s="6">
        <v>4194</v>
      </c>
      <c r="T28" s="6">
        <v>1278</v>
      </c>
      <c r="U28" s="6">
        <v>1780</v>
      </c>
      <c r="V28">
        <f t="shared" si="7"/>
        <v>0.39280125195618154</v>
      </c>
      <c r="W28">
        <f t="shared" si="8"/>
        <v>-0.57558416785884592</v>
      </c>
      <c r="Y28" s="4" t="s">
        <v>112</v>
      </c>
      <c r="Z28" t="s">
        <v>10</v>
      </c>
      <c r="AA28" s="6">
        <v>13451.4</v>
      </c>
      <c r="AB28" s="6">
        <v>6483.4</v>
      </c>
      <c r="AC28" s="6">
        <v>6178.7</v>
      </c>
      <c r="AD28">
        <f t="shared" si="9"/>
        <v>-4.6996946046827255E-2</v>
      </c>
      <c r="AE28">
        <f t="shared" si="10"/>
        <v>-0.54066491220244728</v>
      </c>
      <c r="AG28" s="4" t="s">
        <v>112</v>
      </c>
      <c r="AH28" t="s">
        <v>10</v>
      </c>
      <c r="AI28" s="5">
        <v>10.87214636</v>
      </c>
      <c r="AJ28" s="5">
        <v>4.1770967499999996</v>
      </c>
      <c r="AK28" s="5">
        <v>5.7323092500000001</v>
      </c>
      <c r="AL28">
        <f t="shared" si="11"/>
        <v>0.37231900362374915</v>
      </c>
      <c r="AM28">
        <f t="shared" si="12"/>
        <v>-0.47275275183105614</v>
      </c>
      <c r="BE28" t="str">
        <v>ST4 - Program 2</v>
      </c>
      <c r="BF28">
        <v>0.51951552081644314</v>
      </c>
      <c r="BG28" t="str">
        <v>ST4 - Program 2</v>
      </c>
      <c r="BH28">
        <v>-0.55573823578822967</v>
      </c>
      <c r="BM28" s="4"/>
      <c r="BN28" s="5"/>
      <c r="BP28" s="4"/>
      <c r="BQ28" s="5"/>
    </row>
    <row r="29" spans="1:70" x14ac:dyDescent="0.3">
      <c r="A29" s="4" t="s">
        <v>117</v>
      </c>
      <c r="B29" t="s">
        <v>11</v>
      </c>
      <c r="C29" s="5">
        <v>0.86191302999999997</v>
      </c>
      <c r="D29" s="5">
        <v>1.2581200800000001</v>
      </c>
      <c r="E29" s="5">
        <v>0.88537233000000004</v>
      </c>
      <c r="F29">
        <f t="shared" si="3"/>
        <v>-0.29627358781206325</v>
      </c>
      <c r="G29">
        <f t="shared" si="4"/>
        <v>2.7217711281148717E-2</v>
      </c>
      <c r="I29" s="4" t="s">
        <v>117</v>
      </c>
      <c r="J29" t="s">
        <v>11</v>
      </c>
      <c r="K29" s="6">
        <v>12.08404801</v>
      </c>
      <c r="L29" s="6">
        <v>12.947980490000001</v>
      </c>
      <c r="M29" s="6">
        <v>9.0526544399999995</v>
      </c>
      <c r="N29">
        <f t="shared" si="5"/>
        <v>-0.3008442940587101</v>
      </c>
      <c r="O29">
        <f t="shared" si="6"/>
        <v>-0.25085911339407202</v>
      </c>
      <c r="Q29" s="4" t="s">
        <v>117</v>
      </c>
      <c r="R29" t="s">
        <v>11</v>
      </c>
      <c r="S29" s="6">
        <v>8620</v>
      </c>
      <c r="T29" s="6">
        <v>14394</v>
      </c>
      <c r="U29" s="6">
        <v>10129</v>
      </c>
      <c r="V29">
        <f t="shared" si="7"/>
        <v>-0.29630401556203972</v>
      </c>
      <c r="W29">
        <f t="shared" si="8"/>
        <v>0.17505800464037122</v>
      </c>
      <c r="Y29" s="4" t="s">
        <v>117</v>
      </c>
      <c r="Z29" t="s">
        <v>11</v>
      </c>
      <c r="AA29" s="6">
        <v>7776.9</v>
      </c>
      <c r="AB29" s="6">
        <v>11116.7</v>
      </c>
      <c r="AC29" s="6">
        <v>11189.4</v>
      </c>
      <c r="AD29">
        <f t="shared" si="9"/>
        <v>6.5397105256055216E-3</v>
      </c>
      <c r="AE29">
        <f t="shared" si="10"/>
        <v>0.43879952166030167</v>
      </c>
      <c r="AG29" s="4" t="s">
        <v>117</v>
      </c>
      <c r="AH29" t="s">
        <v>11</v>
      </c>
      <c r="AI29" s="5">
        <v>6.8739600000000003</v>
      </c>
      <c r="AJ29" s="5">
        <v>9.7167282299999993</v>
      </c>
      <c r="AK29" s="5">
        <v>9.7802509999999998</v>
      </c>
      <c r="AL29">
        <f t="shared" si="11"/>
        <v>6.5374649260927726E-3</v>
      </c>
      <c r="AM29">
        <f t="shared" si="12"/>
        <v>0.42279719404826321</v>
      </c>
      <c r="BE29">
        <v>0</v>
      </c>
      <c r="BF29">
        <v>0</v>
      </c>
      <c r="BG29">
        <v>0</v>
      </c>
      <c r="BH29">
        <v>0</v>
      </c>
      <c r="BM29" s="4"/>
      <c r="BN29" s="5"/>
      <c r="BP29" s="4"/>
      <c r="BQ29" s="5"/>
    </row>
    <row r="30" spans="1:70" x14ac:dyDescent="0.3">
      <c r="A30" s="4" t="s">
        <v>118</v>
      </c>
      <c r="B30" t="s">
        <v>11</v>
      </c>
      <c r="C30" s="5">
        <v>0.49247421000000002</v>
      </c>
      <c r="D30" s="5">
        <v>1.53390121</v>
      </c>
      <c r="E30" s="5">
        <v>1.4885348700000001</v>
      </c>
      <c r="F30">
        <f t="shared" si="3"/>
        <v>-2.9575789955860292E-2</v>
      </c>
      <c r="G30">
        <f t="shared" si="4"/>
        <v>2.0225641054381303</v>
      </c>
      <c r="I30" s="4" t="s">
        <v>118</v>
      </c>
      <c r="J30" t="s">
        <v>11</v>
      </c>
      <c r="K30" s="6">
        <v>14.959684810000001</v>
      </c>
      <c r="L30" s="6">
        <v>13.49075511</v>
      </c>
      <c r="M30" s="6">
        <v>13.02756175</v>
      </c>
      <c r="N30">
        <f t="shared" si="5"/>
        <v>-3.4334131501405629E-2</v>
      </c>
      <c r="O30">
        <f t="shared" si="6"/>
        <v>-0.12915533211692046</v>
      </c>
      <c r="Q30" s="4" t="s">
        <v>118</v>
      </c>
      <c r="R30" t="s">
        <v>11</v>
      </c>
      <c r="S30" s="6">
        <v>5459</v>
      </c>
      <c r="T30" s="6">
        <v>17549</v>
      </c>
      <c r="U30" s="6">
        <v>17030</v>
      </c>
      <c r="V30">
        <f t="shared" si="7"/>
        <v>-2.957433471992706E-2</v>
      </c>
      <c r="W30">
        <f t="shared" si="8"/>
        <v>2.1196189778347683</v>
      </c>
      <c r="Y30" s="4" t="s">
        <v>118</v>
      </c>
      <c r="Z30" t="s">
        <v>11</v>
      </c>
      <c r="AA30" s="6">
        <v>3882.4</v>
      </c>
      <c r="AB30" s="6">
        <v>13008.2</v>
      </c>
      <c r="AC30" s="6">
        <v>13072.3</v>
      </c>
      <c r="AD30">
        <f t="shared" si="9"/>
        <v>4.9276610138219382E-3</v>
      </c>
      <c r="AE30">
        <f t="shared" si="10"/>
        <v>2.3670667628271169</v>
      </c>
      <c r="AG30" s="4" t="s">
        <v>118</v>
      </c>
      <c r="AH30" t="s">
        <v>11</v>
      </c>
      <c r="AI30" s="5">
        <v>3.4316146700000001</v>
      </c>
      <c r="AJ30" s="5">
        <v>11.370017470000001</v>
      </c>
      <c r="AK30" s="5">
        <v>11.4260435</v>
      </c>
      <c r="AL30">
        <f t="shared" si="11"/>
        <v>4.9275236513774629E-3</v>
      </c>
      <c r="AM30">
        <f t="shared" si="12"/>
        <v>2.3296405916110623</v>
      </c>
      <c r="BE30">
        <v>0</v>
      </c>
      <c r="BF30">
        <v>0</v>
      </c>
      <c r="BG30">
        <v>0</v>
      </c>
      <c r="BH30">
        <v>0</v>
      </c>
      <c r="BM30" s="4"/>
      <c r="BN30" s="4"/>
      <c r="BP30" s="4"/>
      <c r="BQ30" s="4"/>
    </row>
    <row r="31" spans="1:70" x14ac:dyDescent="0.3">
      <c r="A31" s="4" t="s">
        <v>119</v>
      </c>
      <c r="B31" t="s">
        <v>11</v>
      </c>
      <c r="C31" s="5">
        <v>1.6459356199999999</v>
      </c>
      <c r="D31" s="5">
        <v>1.0677110599999999</v>
      </c>
      <c r="E31" s="5">
        <v>0.99727511999999996</v>
      </c>
      <c r="F31">
        <f t="shared" si="3"/>
        <v>-6.5969102165149424E-2</v>
      </c>
      <c r="G31">
        <f t="shared" si="4"/>
        <v>-0.3940983426800132</v>
      </c>
      <c r="I31" s="4" t="s">
        <v>119</v>
      </c>
      <c r="J31" t="s">
        <v>11</v>
      </c>
      <c r="K31" s="6">
        <v>10.95327565</v>
      </c>
      <c r="L31" s="6">
        <v>8.7336608499999997</v>
      </c>
      <c r="M31" s="6">
        <v>8.2137497800000006</v>
      </c>
      <c r="N31">
        <f t="shared" si="5"/>
        <v>-5.9529569435936958E-2</v>
      </c>
      <c r="O31">
        <f t="shared" si="6"/>
        <v>-0.25011019146587438</v>
      </c>
      <c r="Q31" s="4" t="s">
        <v>119</v>
      </c>
      <c r="R31" t="s">
        <v>11</v>
      </c>
      <c r="S31" s="6">
        <v>18621</v>
      </c>
      <c r="T31" s="6">
        <v>12215</v>
      </c>
      <c r="U31" s="6">
        <v>11410</v>
      </c>
      <c r="V31">
        <f t="shared" si="7"/>
        <v>-6.5902578796561598E-2</v>
      </c>
      <c r="W31">
        <f t="shared" si="8"/>
        <v>-0.38725095322485364</v>
      </c>
      <c r="Y31" s="4" t="s">
        <v>119</v>
      </c>
      <c r="Z31" t="s">
        <v>11</v>
      </c>
      <c r="AA31" s="6">
        <v>17000.8</v>
      </c>
      <c r="AB31" s="6">
        <v>13986.6</v>
      </c>
      <c r="AC31" s="6">
        <v>13890.9</v>
      </c>
      <c r="AD31">
        <f t="shared" si="9"/>
        <v>-6.8422633091673978E-3</v>
      </c>
      <c r="AE31">
        <f t="shared" si="10"/>
        <v>-0.18292668580302102</v>
      </c>
      <c r="AG31" s="4" t="s">
        <v>119</v>
      </c>
      <c r="AH31" t="s">
        <v>11</v>
      </c>
      <c r="AI31" s="5">
        <v>15.026880289999999</v>
      </c>
      <c r="AJ31" s="5">
        <v>12.22524072</v>
      </c>
      <c r="AK31" s="5">
        <v>12.14153277</v>
      </c>
      <c r="AL31">
        <f t="shared" si="11"/>
        <v>-6.8471412479476201E-3</v>
      </c>
      <c r="AM31">
        <f t="shared" si="12"/>
        <v>-0.1920124113799006</v>
      </c>
      <c r="BE31">
        <v>0</v>
      </c>
      <c r="BF31">
        <v>0</v>
      </c>
      <c r="BG31">
        <v>0</v>
      </c>
      <c r="BH31">
        <v>0</v>
      </c>
      <c r="BM31" s="4"/>
      <c r="BN31" s="5"/>
      <c r="BP31" s="4"/>
      <c r="BQ31" s="5"/>
    </row>
    <row r="32" spans="1:70" x14ac:dyDescent="0.3">
      <c r="A32" s="4" t="s">
        <v>102</v>
      </c>
      <c r="B32" t="s">
        <v>11</v>
      </c>
      <c r="C32" s="5">
        <v>0.32829812000000003</v>
      </c>
      <c r="D32" s="5">
        <v>0.53250302999999999</v>
      </c>
      <c r="E32" s="5">
        <v>0.59132987000000004</v>
      </c>
      <c r="F32">
        <f t="shared" si="3"/>
        <v>0.11047231036413079</v>
      </c>
      <c r="G32">
        <f t="shared" si="4"/>
        <v>0.80119785638735908</v>
      </c>
      <c r="I32" s="4" t="s">
        <v>102</v>
      </c>
      <c r="J32" t="s">
        <v>11</v>
      </c>
      <c r="K32" s="6">
        <v>3.3079299099999999</v>
      </c>
      <c r="L32" s="6">
        <v>7.0945978399999996</v>
      </c>
      <c r="M32" s="6">
        <v>7.15196758</v>
      </c>
      <c r="N32">
        <f t="shared" si="5"/>
        <v>8.0863977485157064E-3</v>
      </c>
      <c r="O32">
        <f t="shared" si="6"/>
        <v>1.1620674484000781</v>
      </c>
      <c r="Q32" s="4" t="s">
        <v>102</v>
      </c>
      <c r="R32" t="s">
        <v>11</v>
      </c>
      <c r="S32" s="6">
        <v>3714</v>
      </c>
      <c r="T32" s="6">
        <v>6092</v>
      </c>
      <c r="U32" s="6">
        <v>6765</v>
      </c>
      <c r="V32">
        <f t="shared" si="7"/>
        <v>0.11047275114904793</v>
      </c>
      <c r="W32">
        <f t="shared" si="8"/>
        <v>0.82148626817447501</v>
      </c>
      <c r="Y32" s="4" t="s">
        <v>102</v>
      </c>
      <c r="Z32" t="s">
        <v>11</v>
      </c>
      <c r="AA32" s="6">
        <v>11228.3</v>
      </c>
      <c r="AB32" s="6">
        <v>8587.2000000000007</v>
      </c>
      <c r="AC32" s="6">
        <v>9459.2999999999993</v>
      </c>
      <c r="AD32">
        <f t="shared" si="9"/>
        <v>0.10155813303521502</v>
      </c>
      <c r="AE32">
        <f t="shared" si="10"/>
        <v>-0.15754833768246307</v>
      </c>
      <c r="AG32" s="4" t="s">
        <v>102</v>
      </c>
      <c r="AH32" t="s">
        <v>11</v>
      </c>
      <c r="AI32" s="5">
        <v>9.9245789599999998</v>
      </c>
      <c r="AJ32" s="5">
        <v>7.5057535399999997</v>
      </c>
      <c r="AK32" s="5">
        <v>8.2680726300000007</v>
      </c>
      <c r="AL32">
        <f t="shared" si="11"/>
        <v>0.1015646311775914</v>
      </c>
      <c r="AM32">
        <f t="shared" si="12"/>
        <v>-0.16690948166933614</v>
      </c>
      <c r="BE32">
        <v>0</v>
      </c>
      <c r="BF32">
        <v>0</v>
      </c>
      <c r="BG32">
        <v>0</v>
      </c>
      <c r="BH32">
        <v>0</v>
      </c>
      <c r="BM32" s="4"/>
      <c r="BN32" s="5"/>
      <c r="BP32" s="4"/>
      <c r="BQ32" s="5"/>
    </row>
    <row r="33" spans="1:97" x14ac:dyDescent="0.3">
      <c r="A33" s="4" t="s">
        <v>103</v>
      </c>
      <c r="B33" t="s">
        <v>11</v>
      </c>
      <c r="C33" s="5">
        <v>0.69402472000000004</v>
      </c>
      <c r="D33" s="5">
        <v>0.82149775000000003</v>
      </c>
      <c r="E33" s="5">
        <v>0.79810117999999997</v>
      </c>
      <c r="F33">
        <f t="shared" si="3"/>
        <v>-2.8480382326062439E-2</v>
      </c>
      <c r="G33">
        <f t="shared" si="4"/>
        <v>0.14996073915061689</v>
      </c>
      <c r="I33" s="4" t="s">
        <v>103</v>
      </c>
      <c r="J33" t="s">
        <v>11</v>
      </c>
      <c r="K33" s="6">
        <v>5.9846635800000003</v>
      </c>
      <c r="L33" s="6">
        <v>8.4544687100000004</v>
      </c>
      <c r="M33" s="6">
        <v>8.1603343200000005</v>
      </c>
      <c r="N33">
        <f t="shared" si="5"/>
        <v>-3.479040494313923E-2</v>
      </c>
      <c r="O33">
        <f t="shared" si="6"/>
        <v>0.36354102631112306</v>
      </c>
      <c r="Q33" s="4" t="s">
        <v>103</v>
      </c>
      <c r="R33" t="s">
        <v>11</v>
      </c>
      <c r="S33" s="6">
        <v>7852</v>
      </c>
      <c r="T33" s="6">
        <v>9399</v>
      </c>
      <c r="U33" s="6">
        <v>9131</v>
      </c>
      <c r="V33">
        <f t="shared" si="7"/>
        <v>-2.8513671667198637E-2</v>
      </c>
      <c r="W33">
        <f t="shared" si="8"/>
        <v>0.16288843606724401</v>
      </c>
      <c r="Y33" s="4" t="s">
        <v>103</v>
      </c>
      <c r="Z33" t="s">
        <v>11</v>
      </c>
      <c r="AA33" s="6">
        <v>13120.1</v>
      </c>
      <c r="AB33" s="6">
        <v>11116.7</v>
      </c>
      <c r="AC33" s="6">
        <v>11189.4</v>
      </c>
      <c r="AD33">
        <f t="shared" si="9"/>
        <v>6.5397105256055216E-3</v>
      </c>
      <c r="AE33">
        <f t="shared" si="10"/>
        <v>-0.14715589058010234</v>
      </c>
      <c r="AG33" s="4" t="s">
        <v>103</v>
      </c>
      <c r="AH33" t="s">
        <v>11</v>
      </c>
      <c r="AI33" s="5">
        <v>11.596720680000001</v>
      </c>
      <c r="AJ33" s="5">
        <v>9.7167282299999993</v>
      </c>
      <c r="AK33" s="5">
        <v>9.7802509999999998</v>
      </c>
      <c r="AL33">
        <f t="shared" si="11"/>
        <v>6.5374649260927726E-3</v>
      </c>
      <c r="AM33">
        <f t="shared" si="12"/>
        <v>-0.15663649493022028</v>
      </c>
      <c r="BE33">
        <v>0</v>
      </c>
      <c r="BF33">
        <v>0</v>
      </c>
      <c r="BG33">
        <v>0</v>
      </c>
      <c r="BH33">
        <v>0</v>
      </c>
      <c r="BM33" s="4"/>
      <c r="BN33" s="5"/>
      <c r="BP33" s="4"/>
      <c r="BQ33" s="5"/>
    </row>
    <row r="34" spans="1:97" x14ac:dyDescent="0.3">
      <c r="A34" s="4" t="s">
        <v>104</v>
      </c>
      <c r="B34" t="s">
        <v>11</v>
      </c>
      <c r="C34" s="5">
        <v>0.85066790999999997</v>
      </c>
      <c r="D34" s="5">
        <v>0.99511985999999997</v>
      </c>
      <c r="E34" s="5">
        <v>0.97566640000000004</v>
      </c>
      <c r="F34">
        <f t="shared" si="3"/>
        <v>-1.954886117939594E-2</v>
      </c>
      <c r="G34">
        <f t="shared" si="4"/>
        <v>0.14694158381970712</v>
      </c>
      <c r="I34" s="4" t="s">
        <v>104</v>
      </c>
      <c r="J34" t="s">
        <v>11</v>
      </c>
      <c r="K34" s="6">
        <v>5.9591145900000004</v>
      </c>
      <c r="L34" s="6">
        <v>8.8195745199999998</v>
      </c>
      <c r="M34" s="6">
        <v>8.5195402300000005</v>
      </c>
      <c r="N34">
        <f t="shared" si="5"/>
        <v>-3.4019134292659653E-2</v>
      </c>
      <c r="O34">
        <f t="shared" si="6"/>
        <v>0.42966544800072387</v>
      </c>
      <c r="Q34" s="4" t="s">
        <v>104</v>
      </c>
      <c r="R34" t="s">
        <v>11</v>
      </c>
      <c r="S34" s="6">
        <v>9624</v>
      </c>
      <c r="T34" s="6">
        <v>11385</v>
      </c>
      <c r="U34" s="6">
        <v>11162</v>
      </c>
      <c r="V34">
        <f t="shared" si="7"/>
        <v>-1.9587176108915239E-2</v>
      </c>
      <c r="W34">
        <f t="shared" si="8"/>
        <v>0.15980881130507066</v>
      </c>
      <c r="Y34" s="4" t="s">
        <v>104</v>
      </c>
      <c r="Z34" t="s">
        <v>11</v>
      </c>
      <c r="AA34" s="6">
        <v>16150.3</v>
      </c>
      <c r="AB34" s="6">
        <v>12908.7</v>
      </c>
      <c r="AC34" s="6">
        <v>13102.1</v>
      </c>
      <c r="AD34">
        <f t="shared" si="9"/>
        <v>1.4982143825482011E-2</v>
      </c>
      <c r="AE34">
        <f t="shared" si="10"/>
        <v>-0.18873952805830227</v>
      </c>
      <c r="AG34" s="4" t="s">
        <v>104</v>
      </c>
      <c r="AH34" t="s">
        <v>11</v>
      </c>
      <c r="AI34" s="5">
        <v>14.27507224</v>
      </c>
      <c r="AJ34" s="5">
        <v>11.283082370000001</v>
      </c>
      <c r="AK34" s="5">
        <v>11.45210155</v>
      </c>
      <c r="AL34">
        <f t="shared" si="11"/>
        <v>1.4979876460832695E-2</v>
      </c>
      <c r="AM34">
        <f t="shared" si="12"/>
        <v>-0.19775526473973207</v>
      </c>
      <c r="BE34">
        <v>0</v>
      </c>
      <c r="BF34">
        <v>0</v>
      </c>
      <c r="BG34">
        <v>0</v>
      </c>
      <c r="BH34">
        <v>0</v>
      </c>
      <c r="BM34" s="4"/>
      <c r="BN34" s="5"/>
      <c r="BP34" s="4"/>
      <c r="BQ34" s="5"/>
    </row>
    <row r="35" spans="1:97" x14ac:dyDescent="0.3">
      <c r="A35" s="4" t="s">
        <v>120</v>
      </c>
      <c r="B35" t="s">
        <v>11</v>
      </c>
      <c r="C35" s="5">
        <v>0.35438803000000002</v>
      </c>
      <c r="D35" s="5">
        <v>0.53307002000000003</v>
      </c>
      <c r="E35" s="5">
        <v>0.32282487999999998</v>
      </c>
      <c r="F35">
        <f t="shared" si="3"/>
        <v>-0.39440435986251871</v>
      </c>
      <c r="G35">
        <f t="shared" si="4"/>
        <v>-8.9063815163283128E-2</v>
      </c>
      <c r="I35" s="4" t="s">
        <v>120</v>
      </c>
      <c r="J35" t="s">
        <v>11</v>
      </c>
      <c r="K35" s="6">
        <v>4.4703115100000002</v>
      </c>
      <c r="L35" s="6">
        <v>4.36554529</v>
      </c>
      <c r="M35" s="6">
        <v>2.6544285699999999</v>
      </c>
      <c r="N35">
        <f t="shared" si="5"/>
        <v>-0.39195944752184675</v>
      </c>
      <c r="O35">
        <f t="shared" si="6"/>
        <v>-0.40620948583513822</v>
      </c>
      <c r="Q35" s="4" t="s">
        <v>120</v>
      </c>
      <c r="R35" t="s">
        <v>11</v>
      </c>
      <c r="S35" s="6">
        <v>615</v>
      </c>
      <c r="T35" s="6">
        <v>6099</v>
      </c>
      <c r="U35" s="6">
        <v>3693</v>
      </c>
      <c r="V35">
        <f t="shared" si="7"/>
        <v>-0.39449090014756516</v>
      </c>
      <c r="W35">
        <f t="shared" si="8"/>
        <v>5.0048780487804878</v>
      </c>
      <c r="Y35" s="4" t="s">
        <v>120</v>
      </c>
      <c r="Z35" t="s">
        <v>11</v>
      </c>
      <c r="AA35" s="6">
        <v>4185</v>
      </c>
      <c r="AB35" s="6">
        <v>13970.2</v>
      </c>
      <c r="AC35" s="6">
        <v>13914</v>
      </c>
      <c r="AD35">
        <f t="shared" si="9"/>
        <v>-4.0228486349515912E-3</v>
      </c>
      <c r="AE35">
        <f t="shared" si="10"/>
        <v>2.3247311827956989</v>
      </c>
      <c r="AG35" s="4" t="s">
        <v>120</v>
      </c>
      <c r="AH35" t="s">
        <v>11</v>
      </c>
      <c r="AI35" s="5">
        <v>3.6990823399999999</v>
      </c>
      <c r="AJ35" s="5">
        <v>12.210846220000001</v>
      </c>
      <c r="AK35" s="5">
        <v>12.1617467</v>
      </c>
      <c r="AL35">
        <f t="shared" si="11"/>
        <v>-4.0209760335512927E-3</v>
      </c>
      <c r="AM35">
        <f t="shared" si="12"/>
        <v>2.2877739888320519</v>
      </c>
      <c r="BE35">
        <v>0</v>
      </c>
      <c r="BF35">
        <v>0</v>
      </c>
      <c r="BG35">
        <v>0</v>
      </c>
      <c r="BH35">
        <v>0</v>
      </c>
      <c r="BM35" s="4"/>
      <c r="BN35" s="5"/>
      <c r="BP35" s="4"/>
      <c r="BQ35" s="5"/>
      <c r="BU35" s="11" t="s">
        <v>117</v>
      </c>
      <c r="CA35" s="11" t="s">
        <v>117</v>
      </c>
      <c r="CG35" s="11" t="s">
        <v>117</v>
      </c>
      <c r="CM35" s="11" t="s">
        <v>117</v>
      </c>
      <c r="CS35" s="11" t="s">
        <v>117</v>
      </c>
    </row>
    <row r="36" spans="1:97" x14ac:dyDescent="0.3">
      <c r="A36" s="4" t="s">
        <v>121</v>
      </c>
      <c r="B36" t="s">
        <v>11</v>
      </c>
      <c r="C36" s="5">
        <v>0.39201735999999998</v>
      </c>
      <c r="D36" s="5">
        <v>0.38117593</v>
      </c>
      <c r="E36" s="5">
        <v>0.46504915000000002</v>
      </c>
      <c r="F36">
        <f t="shared" si="3"/>
        <v>0.22003808057869767</v>
      </c>
      <c r="G36">
        <f t="shared" si="4"/>
        <v>0.18629733642408092</v>
      </c>
      <c r="I36" s="4" t="s">
        <v>121</v>
      </c>
      <c r="J36" t="s">
        <v>11</v>
      </c>
      <c r="K36" s="6">
        <v>3.3865293200000002</v>
      </c>
      <c r="L36" s="6">
        <v>3.9228835499999999</v>
      </c>
      <c r="M36" s="6">
        <v>15.325306579999999</v>
      </c>
      <c r="N36">
        <f t="shared" si="5"/>
        <v>2.9066432599050769</v>
      </c>
      <c r="O36">
        <f t="shared" si="6"/>
        <v>3.5253724778027311</v>
      </c>
      <c r="Q36" s="4" t="s">
        <v>121</v>
      </c>
      <c r="R36" t="s">
        <v>11</v>
      </c>
      <c r="S36" s="6">
        <v>4435</v>
      </c>
      <c r="T36" s="6">
        <v>4361</v>
      </c>
      <c r="U36" s="6">
        <v>5321</v>
      </c>
      <c r="V36">
        <f t="shared" si="7"/>
        <v>0.22013299701903233</v>
      </c>
      <c r="W36">
        <f t="shared" si="8"/>
        <v>0.19977452085682074</v>
      </c>
      <c r="Y36" s="4" t="s">
        <v>121</v>
      </c>
      <c r="Z36" t="s">
        <v>11</v>
      </c>
      <c r="AA36" s="6">
        <v>13096.4</v>
      </c>
      <c r="AB36" s="6">
        <v>11116.7</v>
      </c>
      <c r="AC36" s="6">
        <v>3471.7</v>
      </c>
      <c r="AD36">
        <f t="shared" si="9"/>
        <v>-0.68770408484532286</v>
      </c>
      <c r="AE36">
        <f t="shared" si="10"/>
        <v>-0.73491188418191267</v>
      </c>
      <c r="AG36" s="4" t="s">
        <v>121</v>
      </c>
      <c r="AH36" t="s">
        <v>11</v>
      </c>
      <c r="AI36" s="5">
        <v>11.575785359999999</v>
      </c>
      <c r="AJ36" s="5">
        <v>9.7167282299999993</v>
      </c>
      <c r="AK36" s="5">
        <v>3.03451775</v>
      </c>
      <c r="AL36">
        <f t="shared" si="11"/>
        <v>-0.68770169565604899</v>
      </c>
      <c r="AM36">
        <f t="shared" si="12"/>
        <v>-0.73785642566544607</v>
      </c>
      <c r="BE36">
        <v>0</v>
      </c>
      <c r="BF36">
        <v>0</v>
      </c>
      <c r="BG36">
        <v>0</v>
      </c>
      <c r="BH36">
        <v>0</v>
      </c>
      <c r="BM36" s="4"/>
      <c r="BN36" s="5"/>
      <c r="BP36" s="4"/>
      <c r="BQ36" s="5"/>
      <c r="BU36" s="11" t="s">
        <v>118</v>
      </c>
      <c r="CA36" s="11" t="s">
        <v>118</v>
      </c>
      <c r="CG36" s="11" t="s">
        <v>118</v>
      </c>
      <c r="CM36" s="11" t="s">
        <v>118</v>
      </c>
      <c r="CS36" s="11" t="s">
        <v>118</v>
      </c>
    </row>
    <row r="37" spans="1:97" x14ac:dyDescent="0.3">
      <c r="A37" s="4" t="s">
        <v>111</v>
      </c>
      <c r="B37" t="s">
        <v>11</v>
      </c>
      <c r="C37" s="8">
        <v>0.53168484999999999</v>
      </c>
      <c r="D37" s="5">
        <v>0.30129939</v>
      </c>
      <c r="E37" s="5">
        <v>0.94235838999999999</v>
      </c>
      <c r="F37">
        <f t="shared" si="3"/>
        <v>2.1276478521911382</v>
      </c>
      <c r="G37">
        <f t="shared" si="4"/>
        <v>0.77240030442845986</v>
      </c>
      <c r="I37" s="4" t="s">
        <v>111</v>
      </c>
      <c r="J37" t="s">
        <v>11</v>
      </c>
      <c r="K37" s="9">
        <v>3.72456852</v>
      </c>
      <c r="L37" s="6">
        <v>4.6679623799999996</v>
      </c>
      <c r="M37" s="6">
        <v>6.4265469499999996</v>
      </c>
      <c r="N37">
        <f t="shared" si="5"/>
        <v>0.37673494917926054</v>
      </c>
      <c r="O37">
        <f t="shared" si="6"/>
        <v>0.72544736806184451</v>
      </c>
      <c r="Q37" s="4" t="s">
        <v>111</v>
      </c>
      <c r="R37" t="s">
        <v>11</v>
      </c>
      <c r="S37" s="9">
        <v>6015</v>
      </c>
      <c r="T37" s="6">
        <v>3447</v>
      </c>
      <c r="U37" s="6">
        <v>5061</v>
      </c>
      <c r="V37">
        <f t="shared" si="7"/>
        <v>0.46823324630113144</v>
      </c>
      <c r="W37">
        <f t="shared" si="8"/>
        <v>-0.15860349127182044</v>
      </c>
      <c r="Y37" s="4" t="s">
        <v>111</v>
      </c>
      <c r="Z37" t="s">
        <v>11</v>
      </c>
      <c r="AA37" s="9">
        <v>16150.3</v>
      </c>
      <c r="AB37" s="6">
        <v>7284.6</v>
      </c>
      <c r="AC37" s="6">
        <v>6875</v>
      </c>
      <c r="AD37">
        <f t="shared" si="9"/>
        <v>-5.6228207451335742E-2</v>
      </c>
      <c r="AE37">
        <f t="shared" si="10"/>
        <v>-0.57431131310254302</v>
      </c>
      <c r="AG37" s="4" t="s">
        <v>111</v>
      </c>
      <c r="AH37" t="s">
        <v>11</v>
      </c>
      <c r="AI37" s="8">
        <v>14.27507224</v>
      </c>
      <c r="AJ37" s="5">
        <v>6.2546232899999996</v>
      </c>
      <c r="AK37" s="5">
        <v>6.8832981699999998</v>
      </c>
      <c r="AL37">
        <f t="shared" si="11"/>
        <v>0.10051362821564913</v>
      </c>
      <c r="AM37">
        <f t="shared" si="12"/>
        <v>-0.51780992388168823</v>
      </c>
      <c r="BE37">
        <v>0</v>
      </c>
      <c r="BF37">
        <v>0</v>
      </c>
      <c r="BG37">
        <v>0</v>
      </c>
      <c r="BH37">
        <v>0</v>
      </c>
      <c r="BM37" s="4"/>
      <c r="BN37" s="5"/>
      <c r="BP37" s="4"/>
      <c r="BQ37" s="5"/>
      <c r="BU37" s="11" t="s">
        <v>119</v>
      </c>
      <c r="CA37" s="11" t="s">
        <v>119</v>
      </c>
      <c r="CG37" s="11" t="s">
        <v>119</v>
      </c>
      <c r="CM37" s="11" t="s">
        <v>119</v>
      </c>
      <c r="CS37" s="11" t="s">
        <v>119</v>
      </c>
    </row>
    <row r="38" spans="1:97" x14ac:dyDescent="0.3">
      <c r="A38" s="4" t="s">
        <v>112</v>
      </c>
      <c r="B38" t="s">
        <v>11</v>
      </c>
      <c r="C38" s="5">
        <v>0.51786299999999996</v>
      </c>
      <c r="D38" s="5">
        <v>0.15140795000000001</v>
      </c>
      <c r="E38" s="5">
        <v>0.23006673</v>
      </c>
      <c r="F38">
        <f t="shared" si="3"/>
        <v>0.51951552081644314</v>
      </c>
      <c r="G38">
        <f t="shared" si="4"/>
        <v>-0.55573823578822967</v>
      </c>
      <c r="I38" s="4" t="s">
        <v>112</v>
      </c>
      <c r="J38" t="s">
        <v>11</v>
      </c>
      <c r="K38" s="6">
        <v>3.5559295099999999</v>
      </c>
      <c r="L38" s="6">
        <v>2.3440395399999998</v>
      </c>
      <c r="M38" s="6">
        <v>3.3503788999999999</v>
      </c>
      <c r="N38">
        <f t="shared" si="5"/>
        <v>0.42931842352795818</v>
      </c>
      <c r="O38">
        <f t="shared" si="6"/>
        <v>-5.7805029436593068E-2</v>
      </c>
      <c r="Q38" s="4" t="s">
        <v>112</v>
      </c>
      <c r="R38" t="s">
        <v>11</v>
      </c>
      <c r="S38" s="6">
        <v>5859</v>
      </c>
      <c r="T38" s="6">
        <v>1732</v>
      </c>
      <c r="U38" s="6">
        <v>2632</v>
      </c>
      <c r="V38">
        <f t="shared" si="7"/>
        <v>0.51963048498845266</v>
      </c>
      <c r="W38">
        <f t="shared" si="8"/>
        <v>-0.5507765830346476</v>
      </c>
      <c r="Y38" s="4" t="s">
        <v>112</v>
      </c>
      <c r="Z38" t="s">
        <v>11</v>
      </c>
      <c r="AA38" s="6">
        <v>16476.400000000001</v>
      </c>
      <c r="AB38" s="6">
        <v>7389.9</v>
      </c>
      <c r="AC38" s="6">
        <v>7856.3</v>
      </c>
      <c r="AD38">
        <f t="shared" si="9"/>
        <v>6.311316797250309E-2</v>
      </c>
      <c r="AE38">
        <f t="shared" si="10"/>
        <v>-0.52317860697725238</v>
      </c>
      <c r="AG38" s="4" t="s">
        <v>112</v>
      </c>
      <c r="AH38" t="s">
        <v>11</v>
      </c>
      <c r="AI38" s="5">
        <v>14.563365129999999</v>
      </c>
      <c r="AJ38" s="5">
        <v>6.4592744099999999</v>
      </c>
      <c r="AK38" s="5">
        <v>6.8668869499999996</v>
      </c>
      <c r="AL38">
        <f t="shared" si="11"/>
        <v>6.3105004390113795E-2</v>
      </c>
      <c r="AM38">
        <f t="shared" si="12"/>
        <v>-0.52848212698763808</v>
      </c>
      <c r="BE38">
        <v>0</v>
      </c>
      <c r="BF38">
        <v>0</v>
      </c>
      <c r="BG38">
        <v>0</v>
      </c>
      <c r="BH38">
        <v>0</v>
      </c>
      <c r="BM38" s="4"/>
      <c r="BN38" s="5"/>
      <c r="BP38" s="4"/>
      <c r="BQ38" s="5"/>
      <c r="BU38" s="11" t="s">
        <v>102</v>
      </c>
      <c r="CA38" s="11" t="s">
        <v>102</v>
      </c>
      <c r="CG38" s="11" t="s">
        <v>102</v>
      </c>
      <c r="CM38" s="11" t="s">
        <v>102</v>
      </c>
      <c r="CS38" s="11" t="s">
        <v>102</v>
      </c>
    </row>
    <row r="39" spans="1:97" x14ac:dyDescent="0.3">
      <c r="A39" s="4" t="s">
        <v>117</v>
      </c>
      <c r="B39" t="s">
        <v>12</v>
      </c>
      <c r="C39" s="5">
        <v>1.51279268</v>
      </c>
      <c r="D39" s="5">
        <v>1.4568962999999999</v>
      </c>
      <c r="E39" s="5">
        <v>0.98892862999999998</v>
      </c>
      <c r="F39">
        <f t="shared" si="3"/>
        <v>-0.32120863372362191</v>
      </c>
      <c r="G39">
        <f t="shared" si="4"/>
        <v>-0.34628938712210056</v>
      </c>
      <c r="I39" s="4" t="s">
        <v>117</v>
      </c>
      <c r="J39" t="s">
        <v>12</v>
      </c>
      <c r="K39" s="6">
        <v>12.40592584</v>
      </c>
      <c r="L39" s="6">
        <v>14.631044149999999</v>
      </c>
      <c r="M39" s="6">
        <v>10.12366984</v>
      </c>
      <c r="N39">
        <f t="shared" si="5"/>
        <v>-0.30806921664575798</v>
      </c>
      <c r="O39">
        <f t="shared" si="6"/>
        <v>-0.18396498813828152</v>
      </c>
      <c r="Q39" s="4" t="s">
        <v>117</v>
      </c>
      <c r="R39" t="s">
        <v>12</v>
      </c>
      <c r="S39" s="6">
        <v>8614</v>
      </c>
      <c r="T39" s="6">
        <v>8383</v>
      </c>
      <c r="U39" s="6">
        <v>5690</v>
      </c>
      <c r="V39">
        <f t="shared" si="7"/>
        <v>-0.32124537754980315</v>
      </c>
      <c r="W39">
        <f t="shared" si="8"/>
        <v>-0.33944741119108429</v>
      </c>
      <c r="Y39" s="4" t="s">
        <v>117</v>
      </c>
      <c r="Z39" t="s">
        <v>12</v>
      </c>
      <c r="AA39" s="6">
        <v>6943.7</v>
      </c>
      <c r="AB39" s="6">
        <v>5729.6</v>
      </c>
      <c r="AC39" s="6">
        <v>5620.8</v>
      </c>
      <c r="AD39">
        <f t="shared" si="9"/>
        <v>-1.8989109187377857E-2</v>
      </c>
      <c r="AE39">
        <f t="shared" si="10"/>
        <v>-0.1905180235321226</v>
      </c>
      <c r="AG39" s="4" t="s">
        <v>117</v>
      </c>
      <c r="AH39" t="s">
        <v>12</v>
      </c>
      <c r="AI39" s="5">
        <v>12.19411356</v>
      </c>
      <c r="AJ39" s="5">
        <v>9.9575688699999994</v>
      </c>
      <c r="AK39" s="5">
        <v>9.7684796600000006</v>
      </c>
      <c r="AL39">
        <f t="shared" si="11"/>
        <v>-1.8989495575539896E-2</v>
      </c>
      <c r="AM39">
        <f t="shared" si="12"/>
        <v>-0.19891842798288648</v>
      </c>
      <c r="BE39">
        <v>0</v>
      </c>
      <c r="BF39">
        <v>0</v>
      </c>
      <c r="BG39">
        <v>0</v>
      </c>
      <c r="BH39">
        <v>0</v>
      </c>
      <c r="BM39" s="4"/>
      <c r="BN39" s="5"/>
      <c r="BP39" s="4"/>
      <c r="BQ39" s="5"/>
      <c r="BU39" s="11" t="s">
        <v>103</v>
      </c>
      <c r="CA39" s="11" t="s">
        <v>103</v>
      </c>
      <c r="CG39" s="11" t="s">
        <v>103</v>
      </c>
      <c r="CM39" s="11" t="s">
        <v>103</v>
      </c>
      <c r="CS39" s="11" t="s">
        <v>103</v>
      </c>
    </row>
    <row r="40" spans="1:97" x14ac:dyDescent="0.3">
      <c r="A40" s="4" t="s">
        <v>118</v>
      </c>
      <c r="B40" t="s">
        <v>12</v>
      </c>
      <c r="C40" s="5">
        <v>2.6364485700000002</v>
      </c>
      <c r="D40" s="5">
        <v>1.71400694</v>
      </c>
      <c r="E40" s="5">
        <v>1.72960951</v>
      </c>
      <c r="F40">
        <f t="shared" si="3"/>
        <v>9.1029794780177389E-3</v>
      </c>
      <c r="G40">
        <f t="shared" si="4"/>
        <v>-0.34396235538931835</v>
      </c>
      <c r="I40" s="4" t="s">
        <v>118</v>
      </c>
      <c r="J40" t="s">
        <v>12</v>
      </c>
      <c r="K40" s="6">
        <v>17.896421140000001</v>
      </c>
      <c r="L40" s="6">
        <v>14.310960469999999</v>
      </c>
      <c r="M40" s="6">
        <v>14.942018790000001</v>
      </c>
      <c r="N40">
        <f t="shared" si="5"/>
        <v>4.409615422548932E-2</v>
      </c>
      <c r="O40">
        <f t="shared" si="6"/>
        <v>-0.16508341678418953</v>
      </c>
      <c r="Q40" s="4" t="s">
        <v>118</v>
      </c>
      <c r="R40" t="s">
        <v>12</v>
      </c>
      <c r="S40" s="6">
        <v>15013</v>
      </c>
      <c r="T40" s="6">
        <v>9862</v>
      </c>
      <c r="U40" s="6">
        <v>9952</v>
      </c>
      <c r="V40">
        <f t="shared" si="7"/>
        <v>9.1259379436219833E-3</v>
      </c>
      <c r="W40">
        <f t="shared" si="8"/>
        <v>-0.33710783987211085</v>
      </c>
      <c r="Y40" s="4" t="s">
        <v>118</v>
      </c>
      <c r="Z40" t="s">
        <v>12</v>
      </c>
      <c r="AA40" s="6">
        <v>8388.6</v>
      </c>
      <c r="AB40" s="6">
        <v>6891.5</v>
      </c>
      <c r="AC40" s="6">
        <v>6660.6</v>
      </c>
      <c r="AD40">
        <f t="shared" si="9"/>
        <v>-3.3505042443589879E-2</v>
      </c>
      <c r="AE40">
        <f t="shared" si="10"/>
        <v>-0.20599384879479293</v>
      </c>
      <c r="AG40" s="4" t="s">
        <v>118</v>
      </c>
      <c r="AH40" t="s">
        <v>12</v>
      </c>
      <c r="AI40" s="5">
        <v>14.73170837</v>
      </c>
      <c r="AJ40" s="5">
        <v>11.976882659999999</v>
      </c>
      <c r="AK40" s="5">
        <v>11.575474059999999</v>
      </c>
      <c r="AL40">
        <f t="shared" si="11"/>
        <v>-3.351528201412636E-2</v>
      </c>
      <c r="AM40">
        <f t="shared" si="12"/>
        <v>-0.2142476779154433</v>
      </c>
      <c r="BE40">
        <v>0</v>
      </c>
      <c r="BF40">
        <v>0</v>
      </c>
      <c r="BG40">
        <v>0</v>
      </c>
      <c r="BH40">
        <v>0</v>
      </c>
      <c r="BM40" s="4"/>
      <c r="BN40" s="5"/>
      <c r="BP40" s="4"/>
      <c r="BQ40" s="5"/>
      <c r="BU40" s="11" t="s">
        <v>104</v>
      </c>
      <c r="CA40" s="11" t="s">
        <v>104</v>
      </c>
      <c r="CG40" s="11" t="s">
        <v>104</v>
      </c>
      <c r="CM40" s="11" t="s">
        <v>104</v>
      </c>
      <c r="CS40" s="11" t="s">
        <v>104</v>
      </c>
    </row>
    <row r="41" spans="1:97" x14ac:dyDescent="0.3">
      <c r="A41" s="4" t="s">
        <v>119</v>
      </c>
      <c r="B41" t="s">
        <v>12</v>
      </c>
      <c r="C41" s="5">
        <v>1.6485501199999999</v>
      </c>
      <c r="D41" s="5">
        <v>1.2901895699999999</v>
      </c>
      <c r="E41" s="5">
        <v>1.20823328</v>
      </c>
      <c r="F41">
        <f t="shared" si="3"/>
        <v>-6.3522672873568442E-2</v>
      </c>
      <c r="G41">
        <f t="shared" si="4"/>
        <v>-0.26709338991768111</v>
      </c>
      <c r="I41" s="4" t="s">
        <v>119</v>
      </c>
      <c r="J41" t="s">
        <v>12</v>
      </c>
      <c r="K41" s="6">
        <v>10.77570504</v>
      </c>
      <c r="L41" s="6">
        <v>9.7550820999999992</v>
      </c>
      <c r="M41" s="6">
        <v>9.7652754300000009</v>
      </c>
      <c r="N41">
        <f t="shared" si="5"/>
        <v>1.0449250857664915E-3</v>
      </c>
      <c r="O41">
        <f t="shared" si="6"/>
        <v>-9.3769234240286811E-2</v>
      </c>
      <c r="Q41" s="4" t="s">
        <v>119</v>
      </c>
      <c r="R41" t="s">
        <v>12</v>
      </c>
      <c r="S41" s="6">
        <v>9387</v>
      </c>
      <c r="T41" s="6">
        <v>7424</v>
      </c>
      <c r="U41" s="6">
        <v>6952</v>
      </c>
      <c r="V41">
        <f t="shared" si="7"/>
        <v>-6.3577586206896547E-2</v>
      </c>
      <c r="W41">
        <f t="shared" si="8"/>
        <v>-0.25940129966975606</v>
      </c>
      <c r="Y41" s="4" t="s">
        <v>119</v>
      </c>
      <c r="Z41" t="s">
        <v>12</v>
      </c>
      <c r="AA41" s="6">
        <v>8711.5</v>
      </c>
      <c r="AB41" s="6">
        <v>7610.2</v>
      </c>
      <c r="AC41" s="6">
        <v>7119.3</v>
      </c>
      <c r="AD41">
        <f t="shared" si="9"/>
        <v>-6.4505532049091957E-2</v>
      </c>
      <c r="AE41">
        <f t="shared" si="10"/>
        <v>-0.18276990185387129</v>
      </c>
      <c r="AG41" s="4" t="s">
        <v>119</v>
      </c>
      <c r="AH41" t="s">
        <v>12</v>
      </c>
      <c r="AI41" s="5">
        <v>15.298768020000001</v>
      </c>
      <c r="AJ41" s="5">
        <v>13.22581967</v>
      </c>
      <c r="AK41" s="5">
        <v>12.37275166</v>
      </c>
      <c r="AL41">
        <f t="shared" si="11"/>
        <v>-6.4500199706715E-2</v>
      </c>
      <c r="AM41">
        <f t="shared" si="12"/>
        <v>-0.19125829976471531</v>
      </c>
      <c r="BE41">
        <v>0</v>
      </c>
      <c r="BF41">
        <v>0</v>
      </c>
      <c r="BG41">
        <v>0</v>
      </c>
      <c r="BH41">
        <v>0</v>
      </c>
      <c r="BM41" s="4"/>
      <c r="BN41" s="5"/>
      <c r="BP41" s="4"/>
      <c r="BQ41" s="5"/>
      <c r="BU41" s="11" t="s">
        <v>120</v>
      </c>
      <c r="CA41" s="11" t="s">
        <v>120</v>
      </c>
      <c r="CG41" s="11" t="s">
        <v>120</v>
      </c>
      <c r="CM41" s="11" t="s">
        <v>120</v>
      </c>
      <c r="CS41" s="11" t="s">
        <v>120</v>
      </c>
    </row>
    <row r="42" spans="1:97" x14ac:dyDescent="0.3">
      <c r="A42" s="4" t="s">
        <v>102</v>
      </c>
      <c r="B42" t="s">
        <v>12</v>
      </c>
      <c r="C42" s="5">
        <v>0.44888614999999998</v>
      </c>
      <c r="D42" s="5">
        <v>0.17475412000000001</v>
      </c>
      <c r="E42" s="5">
        <v>0.52048738000000005</v>
      </c>
      <c r="F42">
        <f t="shared" si="3"/>
        <v>1.9783983347574297</v>
      </c>
      <c r="G42">
        <f t="shared" si="4"/>
        <v>0.15950866383380302</v>
      </c>
      <c r="I42" s="4" t="s">
        <v>102</v>
      </c>
      <c r="J42" t="s">
        <v>12</v>
      </c>
      <c r="K42" s="6">
        <v>4.20482522</v>
      </c>
      <c r="L42" s="6">
        <v>8.7284953400000003</v>
      </c>
      <c r="M42" s="6">
        <v>5.9263495400000004</v>
      </c>
      <c r="N42">
        <f t="shared" si="5"/>
        <v>-0.32103423222999622</v>
      </c>
      <c r="O42">
        <f t="shared" si="6"/>
        <v>0.40941637997500413</v>
      </c>
      <c r="Q42" s="4" t="s">
        <v>102</v>
      </c>
      <c r="R42" t="s">
        <v>12</v>
      </c>
      <c r="S42" s="6">
        <v>2556</v>
      </c>
      <c r="T42" s="6">
        <v>2189</v>
      </c>
      <c r="U42" s="6">
        <v>2995</v>
      </c>
      <c r="V42">
        <f t="shared" si="7"/>
        <v>0.3682046596619461</v>
      </c>
      <c r="W42">
        <f t="shared" si="8"/>
        <v>0.17175273865414711</v>
      </c>
      <c r="Y42" s="4" t="s">
        <v>102</v>
      </c>
      <c r="Z42" t="s">
        <v>12</v>
      </c>
      <c r="AA42" s="6">
        <v>6078.9</v>
      </c>
      <c r="AB42" s="6">
        <v>2907.3</v>
      </c>
      <c r="AC42" s="6">
        <v>5053.5</v>
      </c>
      <c r="AD42">
        <f t="shared" si="9"/>
        <v>0.7382107109689402</v>
      </c>
      <c r="AE42">
        <f t="shared" si="10"/>
        <v>-0.16868183388441982</v>
      </c>
      <c r="AG42" s="4" t="s">
        <v>102</v>
      </c>
      <c r="AH42" t="s">
        <v>12</v>
      </c>
      <c r="AI42" s="5">
        <v>10.675500850000001</v>
      </c>
      <c r="AJ42" s="5">
        <v>2.5021104599999999</v>
      </c>
      <c r="AK42" s="5">
        <v>8.7825967200000008</v>
      </c>
      <c r="AL42">
        <f t="shared" si="11"/>
        <v>2.5100755383916988</v>
      </c>
      <c r="AM42">
        <f t="shared" si="12"/>
        <v>-0.17731291080361813</v>
      </c>
      <c r="BE42">
        <v>0</v>
      </c>
      <c r="BF42">
        <v>0</v>
      </c>
      <c r="BG42">
        <v>0</v>
      </c>
      <c r="BH42">
        <v>0</v>
      </c>
      <c r="BM42" s="4"/>
      <c r="BN42" s="5"/>
      <c r="BP42" s="4"/>
      <c r="BQ42" s="5"/>
      <c r="BU42" s="11" t="s">
        <v>121</v>
      </c>
      <c r="CA42" s="11" t="s">
        <v>121</v>
      </c>
      <c r="CG42" s="11" t="s">
        <v>121</v>
      </c>
      <c r="CM42" s="11" t="s">
        <v>121</v>
      </c>
      <c r="CS42" s="11" t="s">
        <v>121</v>
      </c>
    </row>
    <row r="43" spans="1:97" x14ac:dyDescent="0.3">
      <c r="A43" s="4" t="s">
        <v>103</v>
      </c>
      <c r="B43" t="s">
        <v>12</v>
      </c>
      <c r="C43" s="5">
        <v>0.81177657999999997</v>
      </c>
      <c r="D43" s="5">
        <v>0.24537043</v>
      </c>
      <c r="E43" s="5">
        <v>0.70423685999999996</v>
      </c>
      <c r="F43">
        <f t="shared" si="3"/>
        <v>1.8700966942104635</v>
      </c>
      <c r="G43">
        <f t="shared" si="4"/>
        <v>-0.13247452889069553</v>
      </c>
      <c r="I43" s="4" t="s">
        <v>103</v>
      </c>
      <c r="J43" t="s">
        <v>12</v>
      </c>
      <c r="K43" s="6">
        <v>6.65711838</v>
      </c>
      <c r="L43" s="6">
        <v>10.865604510000001</v>
      </c>
      <c r="M43" s="6">
        <v>7.2092780200000002</v>
      </c>
      <c r="N43">
        <f t="shared" si="5"/>
        <v>-0.33650465435539767</v>
      </c>
      <c r="O43">
        <f t="shared" si="6"/>
        <v>8.2942740158993569E-2</v>
      </c>
      <c r="Q43" s="4" t="s">
        <v>103</v>
      </c>
      <c r="R43" t="s">
        <v>12</v>
      </c>
      <c r="S43" s="6">
        <v>4622</v>
      </c>
      <c r="T43" s="6">
        <v>3073</v>
      </c>
      <c r="U43" s="6">
        <v>4052</v>
      </c>
      <c r="V43">
        <f t="shared" si="7"/>
        <v>0.31858119101854865</v>
      </c>
      <c r="W43">
        <f t="shared" si="8"/>
        <v>-0.12332323669407183</v>
      </c>
      <c r="Y43" s="4" t="s">
        <v>103</v>
      </c>
      <c r="Z43" t="s">
        <v>12</v>
      </c>
      <c r="AA43" s="6">
        <v>6943.7</v>
      </c>
      <c r="AB43" s="6">
        <v>2828.1</v>
      </c>
      <c r="AC43" s="6">
        <v>5620.8</v>
      </c>
      <c r="AD43">
        <f t="shared" si="9"/>
        <v>0.98748276227856169</v>
      </c>
      <c r="AE43">
        <f t="shared" si="10"/>
        <v>-0.1905180235321226</v>
      </c>
      <c r="AG43" s="4" t="s">
        <v>103</v>
      </c>
      <c r="AH43" t="s">
        <v>12</v>
      </c>
      <c r="AI43" s="5">
        <v>12.19411356</v>
      </c>
      <c r="AJ43" s="5">
        <v>2.2582308499999999</v>
      </c>
      <c r="AK43" s="5">
        <v>9.7684796600000006</v>
      </c>
      <c r="AL43">
        <f t="shared" si="11"/>
        <v>3.325722350307986</v>
      </c>
      <c r="AM43">
        <f t="shared" si="12"/>
        <v>-0.19891842798288648</v>
      </c>
      <c r="BE43">
        <v>0</v>
      </c>
      <c r="BF43">
        <v>0</v>
      </c>
      <c r="BG43">
        <v>0</v>
      </c>
      <c r="BH43">
        <v>0</v>
      </c>
      <c r="BM43" s="4"/>
      <c r="BN43" s="5"/>
      <c r="BP43" s="4"/>
      <c r="BQ43" s="5"/>
      <c r="BU43" s="11" t="s">
        <v>111</v>
      </c>
      <c r="CA43" s="11" t="s">
        <v>111</v>
      </c>
      <c r="CG43" s="11" t="s">
        <v>111</v>
      </c>
      <c r="CM43" s="11" t="s">
        <v>111</v>
      </c>
      <c r="CS43" s="11" t="s">
        <v>111</v>
      </c>
    </row>
    <row r="44" spans="1:97" x14ac:dyDescent="0.3">
      <c r="A44" s="4" t="s">
        <v>104</v>
      </c>
      <c r="B44" t="s">
        <v>12</v>
      </c>
      <c r="C44" s="5">
        <v>0.91632027000000005</v>
      </c>
      <c r="D44" s="5">
        <v>1.03560827</v>
      </c>
      <c r="E44" s="5">
        <v>0.88591642999999998</v>
      </c>
      <c r="F44">
        <f t="shared" si="3"/>
        <v>-0.1445448480244369</v>
      </c>
      <c r="G44">
        <f t="shared" si="4"/>
        <v>-3.3180363891764687E-2</v>
      </c>
      <c r="I44" s="4" t="s">
        <v>104</v>
      </c>
      <c r="J44" t="s">
        <v>12</v>
      </c>
      <c r="K44" s="6">
        <v>6.2200543399999999</v>
      </c>
      <c r="L44" s="6">
        <v>8.7048064200000006</v>
      </c>
      <c r="M44" s="6">
        <v>7.6500272100000002</v>
      </c>
      <c r="N44">
        <f t="shared" si="5"/>
        <v>-0.12117204669555424</v>
      </c>
      <c r="O44">
        <f t="shared" si="6"/>
        <v>0.22989716678262981</v>
      </c>
      <c r="Q44" s="4" t="s">
        <v>104</v>
      </c>
      <c r="R44" t="s">
        <v>12</v>
      </c>
      <c r="S44" s="6">
        <v>5218</v>
      </c>
      <c r="T44" s="6">
        <v>5959</v>
      </c>
      <c r="U44" s="6">
        <v>5098</v>
      </c>
      <c r="V44">
        <f t="shared" si="7"/>
        <v>-0.1444873300889411</v>
      </c>
      <c r="W44">
        <f t="shared" si="8"/>
        <v>-2.2997316979685704E-2</v>
      </c>
      <c r="Y44" s="4" t="s">
        <v>104</v>
      </c>
      <c r="Z44" t="s">
        <v>12</v>
      </c>
      <c r="AA44" s="6">
        <v>8388.6</v>
      </c>
      <c r="AB44" s="6">
        <v>6845.6</v>
      </c>
      <c r="AC44" s="6">
        <v>6663.5</v>
      </c>
      <c r="AD44">
        <f t="shared" si="9"/>
        <v>-2.6601028397803018E-2</v>
      </c>
      <c r="AE44">
        <f t="shared" si="10"/>
        <v>-0.20564814152540356</v>
      </c>
      <c r="AG44" s="4" t="s">
        <v>104</v>
      </c>
      <c r="AH44" t="s">
        <v>12</v>
      </c>
      <c r="AI44" s="5">
        <v>14.73170837</v>
      </c>
      <c r="AJ44" s="5">
        <v>11.896970700000001</v>
      </c>
      <c r="AK44" s="5">
        <v>11.58056581</v>
      </c>
      <c r="AL44">
        <f t="shared" si="11"/>
        <v>-2.6595416428150161E-2</v>
      </c>
      <c r="AM44">
        <f t="shared" si="12"/>
        <v>-0.213902045903723</v>
      </c>
      <c r="BE44">
        <v>0</v>
      </c>
      <c r="BF44">
        <v>0</v>
      </c>
      <c r="BG44">
        <v>0</v>
      </c>
      <c r="BH44">
        <v>0</v>
      </c>
      <c r="BM44" s="4"/>
      <c r="BN44" s="5"/>
      <c r="BP44" s="4"/>
      <c r="BQ44" s="5"/>
      <c r="BU44" s="11" t="s">
        <v>112</v>
      </c>
      <c r="CA44" s="11" t="s">
        <v>112</v>
      </c>
      <c r="CG44" s="11" t="s">
        <v>112</v>
      </c>
      <c r="CM44" s="11" t="s">
        <v>112</v>
      </c>
      <c r="CS44" s="11" t="s">
        <v>112</v>
      </c>
    </row>
    <row r="45" spans="1:97" x14ac:dyDescent="0.3">
      <c r="A45" s="4" t="s">
        <v>120</v>
      </c>
      <c r="B45" t="s">
        <v>12</v>
      </c>
      <c r="C45" s="4" t="s">
        <v>20</v>
      </c>
      <c r="D45" s="5">
        <v>0.58710339</v>
      </c>
      <c r="E45" s="5">
        <v>0.28365016999999998</v>
      </c>
      <c r="F45">
        <f t="shared" si="3"/>
        <v>-0.51686504484329421</v>
      </c>
      <c r="G45" t="e">
        <f t="shared" si="4"/>
        <v>#VALUE!</v>
      </c>
      <c r="I45" s="4" t="s">
        <v>120</v>
      </c>
      <c r="J45" t="s">
        <v>12</v>
      </c>
      <c r="K45" s="4" t="s">
        <v>20</v>
      </c>
      <c r="L45" s="6">
        <v>4.4751295500000001</v>
      </c>
      <c r="M45" s="6">
        <v>2.2843578199999999</v>
      </c>
      <c r="N45">
        <f t="shared" si="5"/>
        <v>-0.48954375633661829</v>
      </c>
      <c r="O45" t="e">
        <f t="shared" si="6"/>
        <v>#VALUE!</v>
      </c>
      <c r="Q45" s="4" t="s">
        <v>120</v>
      </c>
      <c r="R45" t="s">
        <v>12</v>
      </c>
      <c r="S45" s="4" t="s">
        <v>20</v>
      </c>
      <c r="T45" s="6">
        <v>3378</v>
      </c>
      <c r="U45" s="6">
        <v>1632</v>
      </c>
      <c r="V45">
        <f t="shared" si="7"/>
        <v>-0.51687388987566607</v>
      </c>
      <c r="W45" t="e">
        <f t="shared" si="8"/>
        <v>#VALUE!</v>
      </c>
      <c r="Y45" s="4" t="s">
        <v>120</v>
      </c>
      <c r="Z45" t="s">
        <v>12</v>
      </c>
      <c r="AA45" s="4" t="s">
        <v>20</v>
      </c>
      <c r="AB45" s="6">
        <v>7548.9</v>
      </c>
      <c r="AC45" s="6">
        <v>7144.8</v>
      </c>
      <c r="AD45">
        <f t="shared" si="9"/>
        <v>-5.3530978023288094E-2</v>
      </c>
      <c r="AE45" t="e">
        <f t="shared" si="10"/>
        <v>#VALUE!</v>
      </c>
      <c r="AG45" s="4" t="s">
        <v>120</v>
      </c>
      <c r="AH45" t="s">
        <v>12</v>
      </c>
      <c r="AI45" s="4" t="s">
        <v>20</v>
      </c>
      <c r="AJ45" s="5">
        <v>13.119249050000001</v>
      </c>
      <c r="AK45" s="5">
        <v>12.41706385</v>
      </c>
      <c r="AL45">
        <f t="shared" si="11"/>
        <v>-5.352327692872029E-2</v>
      </c>
      <c r="AM45" t="e">
        <f t="shared" si="12"/>
        <v>#VALUE!</v>
      </c>
      <c r="BE45">
        <v>0</v>
      </c>
      <c r="BF45">
        <v>0</v>
      </c>
      <c r="BG45">
        <v>0</v>
      </c>
      <c r="BH45">
        <v>0</v>
      </c>
      <c r="BM45" s="4"/>
      <c r="BN45" s="5"/>
      <c r="BP45" s="4"/>
      <c r="BQ45" s="5"/>
    </row>
    <row r="46" spans="1:97" x14ac:dyDescent="0.3">
      <c r="A46" s="4" t="s">
        <v>121</v>
      </c>
      <c r="B46" t="s">
        <v>12</v>
      </c>
      <c r="C46" s="5">
        <v>0.40951600999999999</v>
      </c>
      <c r="D46" s="5">
        <v>0.41347977000000002</v>
      </c>
      <c r="E46" s="5">
        <v>0.59574768</v>
      </c>
      <c r="F46">
        <f t="shared" si="3"/>
        <v>0.44081457721619599</v>
      </c>
      <c r="G46">
        <f t="shared" si="4"/>
        <v>0.45476041339629192</v>
      </c>
      <c r="I46" s="4" t="s">
        <v>121</v>
      </c>
      <c r="J46" t="s">
        <v>12</v>
      </c>
      <c r="K46" s="6">
        <v>3.3514663699999998</v>
      </c>
      <c r="L46" s="6">
        <v>4.1524168699999997</v>
      </c>
      <c r="M46" s="6">
        <v>16.668915640000002</v>
      </c>
      <c r="N46">
        <f t="shared" si="5"/>
        <v>3.0142683554794445</v>
      </c>
      <c r="O46">
        <f t="shared" si="6"/>
        <v>3.97361864920041</v>
      </c>
      <c r="Q46" s="4" t="s">
        <v>121</v>
      </c>
      <c r="R46" t="s">
        <v>12</v>
      </c>
      <c r="S46" s="6">
        <v>2332</v>
      </c>
      <c r="T46" s="6">
        <v>2379</v>
      </c>
      <c r="U46" s="6">
        <v>3428</v>
      </c>
      <c r="V46">
        <f t="shared" si="7"/>
        <v>0.44094157208911305</v>
      </c>
      <c r="W46">
        <f t="shared" si="8"/>
        <v>0.46998284734133788</v>
      </c>
      <c r="Y46" s="4" t="s">
        <v>121</v>
      </c>
      <c r="Z46" t="s">
        <v>12</v>
      </c>
      <c r="AA46" s="6">
        <v>6957.8</v>
      </c>
      <c r="AB46" s="6">
        <v>5729.6</v>
      </c>
      <c r="AC46" s="6">
        <v>2056.5</v>
      </c>
      <c r="AD46">
        <f t="shared" si="9"/>
        <v>-0.64107442055291819</v>
      </c>
      <c r="AE46">
        <f t="shared" si="10"/>
        <v>-0.70443243553996959</v>
      </c>
      <c r="AG46" s="4" t="s">
        <v>121</v>
      </c>
      <c r="AH46" t="s">
        <v>12</v>
      </c>
      <c r="AI46" s="5">
        <v>12.21901001</v>
      </c>
      <c r="AJ46" s="5">
        <v>9.9575688699999994</v>
      </c>
      <c r="AK46" s="5">
        <v>3.5740037899999999</v>
      </c>
      <c r="AL46">
        <f t="shared" si="11"/>
        <v>-0.64107666874715774</v>
      </c>
      <c r="AM46">
        <f t="shared" si="12"/>
        <v>-0.70750463523026441</v>
      </c>
      <c r="BE46">
        <v>0</v>
      </c>
      <c r="BF46">
        <v>0</v>
      </c>
      <c r="BG46">
        <v>0</v>
      </c>
      <c r="BH46">
        <v>0</v>
      </c>
      <c r="BM46" s="4"/>
      <c r="BN46" s="4"/>
      <c r="BP46" s="4"/>
      <c r="BQ46" s="4"/>
    </row>
    <row r="47" spans="1:97" x14ac:dyDescent="0.3">
      <c r="A47" s="4" t="s">
        <v>111</v>
      </c>
      <c r="B47" t="s">
        <v>12</v>
      </c>
      <c r="C47" s="8">
        <v>0.52511121000000005</v>
      </c>
      <c r="D47" s="5">
        <v>0.25410451000000001</v>
      </c>
      <c r="E47" s="5">
        <v>0.39339384999999999</v>
      </c>
      <c r="F47">
        <f t="shared" si="3"/>
        <v>0.54815768519810992</v>
      </c>
      <c r="G47">
        <f t="shared" si="4"/>
        <v>-0.2508370750645374</v>
      </c>
      <c r="I47" s="4" t="s">
        <v>111</v>
      </c>
      <c r="J47" t="s">
        <v>12</v>
      </c>
      <c r="K47" s="9">
        <v>3.5644963600000001</v>
      </c>
      <c r="L47" s="6">
        <v>3.89982936</v>
      </c>
      <c r="M47" s="6">
        <v>5.2751811200000001</v>
      </c>
      <c r="N47">
        <f t="shared" si="5"/>
        <v>0.35266972809292352</v>
      </c>
      <c r="O47">
        <f t="shared" si="6"/>
        <v>0.47992327308758981</v>
      </c>
      <c r="Q47" s="4" t="s">
        <v>111</v>
      </c>
      <c r="R47" t="s">
        <v>12</v>
      </c>
      <c r="S47" s="9">
        <v>2990</v>
      </c>
      <c r="T47" s="6">
        <v>1462</v>
      </c>
      <c r="U47" s="6">
        <v>2264</v>
      </c>
      <c r="V47">
        <f t="shared" si="7"/>
        <v>0.54856361149110811</v>
      </c>
      <c r="W47">
        <f t="shared" si="8"/>
        <v>-0.24280936454849497</v>
      </c>
      <c r="Y47" s="4" t="s">
        <v>111</v>
      </c>
      <c r="Z47" t="s">
        <v>12</v>
      </c>
      <c r="AA47" s="9">
        <v>8388.6</v>
      </c>
      <c r="AB47" s="6">
        <v>2749.2</v>
      </c>
      <c r="AC47" s="6">
        <v>4291</v>
      </c>
      <c r="AD47">
        <f t="shared" si="9"/>
        <v>0.5608176924196131</v>
      </c>
      <c r="AE47">
        <f t="shared" si="10"/>
        <v>-0.48847245070691181</v>
      </c>
      <c r="AG47" s="4" t="s">
        <v>111</v>
      </c>
      <c r="AH47" t="s">
        <v>12</v>
      </c>
      <c r="AI47" s="8">
        <v>14.73170837</v>
      </c>
      <c r="AJ47" s="5">
        <v>6.51578546</v>
      </c>
      <c r="AK47" s="5">
        <v>7.4574472199999997</v>
      </c>
      <c r="AL47">
        <f t="shared" si="11"/>
        <v>0.14452006834491443</v>
      </c>
      <c r="AM47">
        <f t="shared" si="12"/>
        <v>-0.49378259243941308</v>
      </c>
      <c r="BE47">
        <v>0</v>
      </c>
      <c r="BF47">
        <v>0</v>
      </c>
      <c r="BG47">
        <v>0</v>
      </c>
      <c r="BH47">
        <v>0</v>
      </c>
      <c r="BM47" s="4"/>
      <c r="BN47" s="5"/>
      <c r="BP47" s="4"/>
      <c r="BQ47" s="5"/>
    </row>
    <row r="48" spans="1:97" x14ac:dyDescent="0.3">
      <c r="A48" s="4" t="s">
        <v>112</v>
      </c>
      <c r="B48" t="s">
        <v>12</v>
      </c>
      <c r="C48" s="5">
        <v>0.51205276</v>
      </c>
      <c r="D48" s="5">
        <v>0.15822606</v>
      </c>
      <c r="E48" s="5">
        <v>0.26592789999999999</v>
      </c>
      <c r="F48">
        <f t="shared" si="3"/>
        <v>0.68068332106607465</v>
      </c>
      <c r="G48">
        <f t="shared" si="4"/>
        <v>-0.4806630863585229</v>
      </c>
      <c r="I48" s="4" t="s">
        <v>112</v>
      </c>
      <c r="J48" t="s">
        <v>12</v>
      </c>
      <c r="K48" s="6">
        <v>3.4517034600000001</v>
      </c>
      <c r="L48" s="6">
        <v>2.3839425699999999</v>
      </c>
      <c r="M48" s="6">
        <v>3.6182799299999999</v>
      </c>
      <c r="N48">
        <f t="shared" si="5"/>
        <v>0.51777143272373383</v>
      </c>
      <c r="O48">
        <f t="shared" si="6"/>
        <v>4.8259206484672891E-2</v>
      </c>
      <c r="Q48" s="4" t="s">
        <v>112</v>
      </c>
      <c r="R48" t="s">
        <v>12</v>
      </c>
      <c r="S48" s="6">
        <v>2916</v>
      </c>
      <c r="T48" s="6">
        <v>1910</v>
      </c>
      <c r="U48" s="6">
        <v>1530</v>
      </c>
      <c r="V48">
        <f t="shared" si="7"/>
        <v>-0.19895287958115182</v>
      </c>
      <c r="W48">
        <f t="shared" si="8"/>
        <v>-0.47530864197530864</v>
      </c>
      <c r="Y48" s="4" t="s">
        <v>112</v>
      </c>
      <c r="Z48" t="s">
        <v>12</v>
      </c>
      <c r="AA48" s="6">
        <v>8447.2999999999993</v>
      </c>
      <c r="AB48" s="6">
        <v>3819</v>
      </c>
      <c r="AC48" s="6">
        <v>4229</v>
      </c>
      <c r="AD48">
        <f t="shared" si="9"/>
        <v>0.1073579471065724</v>
      </c>
      <c r="AE48">
        <f t="shared" si="10"/>
        <v>-0.49936666153682235</v>
      </c>
      <c r="AG48" s="4" t="s">
        <v>112</v>
      </c>
      <c r="AH48" t="s">
        <v>12</v>
      </c>
      <c r="AI48" s="5">
        <v>14.83478421</v>
      </c>
      <c r="AJ48" s="5">
        <v>5.6371590899999999</v>
      </c>
      <c r="AK48" s="5">
        <v>7.34956692</v>
      </c>
      <c r="AL48">
        <f t="shared" si="11"/>
        <v>0.30377142150160608</v>
      </c>
      <c r="AM48">
        <f t="shared" si="12"/>
        <v>-0.50457203718233257</v>
      </c>
      <c r="BE48">
        <v>0</v>
      </c>
      <c r="BF48">
        <v>0</v>
      </c>
      <c r="BG48">
        <v>0</v>
      </c>
      <c r="BH48">
        <v>0</v>
      </c>
      <c r="BM48" s="4"/>
      <c r="BN48" s="5"/>
      <c r="BP48" s="4"/>
      <c r="BQ48" s="5"/>
    </row>
    <row r="49" spans="1:69" x14ac:dyDescent="0.3">
      <c r="BE49">
        <v>0</v>
      </c>
      <c r="BF49">
        <v>0</v>
      </c>
      <c r="BG49">
        <v>0</v>
      </c>
      <c r="BH49">
        <v>0</v>
      </c>
      <c r="BM49" s="4"/>
      <c r="BN49" s="5"/>
      <c r="BP49" s="4"/>
      <c r="BQ49" s="5"/>
    </row>
    <row r="50" spans="1:69" x14ac:dyDescent="0.3">
      <c r="BE50">
        <v>0</v>
      </c>
      <c r="BF50">
        <v>0</v>
      </c>
      <c r="BG50">
        <v>0</v>
      </c>
      <c r="BH50">
        <v>0</v>
      </c>
      <c r="BM50" s="4"/>
      <c r="BN50" s="5"/>
      <c r="BP50" s="4"/>
      <c r="BQ50" s="5"/>
    </row>
    <row r="51" spans="1:69" x14ac:dyDescent="0.3">
      <c r="A51" s="10" t="s">
        <v>53</v>
      </c>
      <c r="B51" t="s">
        <v>42</v>
      </c>
      <c r="D51" s="10" t="s">
        <v>53</v>
      </c>
      <c r="E51" t="s">
        <v>65</v>
      </c>
      <c r="F51" t="s">
        <v>66</v>
      </c>
      <c r="G51" t="s">
        <v>67</v>
      </c>
      <c r="I51" s="10" t="s">
        <v>53</v>
      </c>
      <c r="J51" t="s">
        <v>52</v>
      </c>
      <c r="L51" s="10" t="s">
        <v>53</v>
      </c>
      <c r="M51" t="s">
        <v>65</v>
      </c>
      <c r="N51" t="s">
        <v>66</v>
      </c>
      <c r="O51" t="s">
        <v>67</v>
      </c>
      <c r="Q51" s="10" t="s">
        <v>53</v>
      </c>
      <c r="R51" t="s">
        <v>57</v>
      </c>
      <c r="T51" s="10" t="s">
        <v>53</v>
      </c>
      <c r="U51" t="s">
        <v>65</v>
      </c>
      <c r="V51" t="s">
        <v>66</v>
      </c>
      <c r="W51" t="s">
        <v>67</v>
      </c>
      <c r="Y51" s="10" t="s">
        <v>53</v>
      </c>
      <c r="Z51" t="s">
        <v>58</v>
      </c>
      <c r="AB51" s="10" t="s">
        <v>53</v>
      </c>
      <c r="AC51" t="s">
        <v>65</v>
      </c>
      <c r="AD51" t="s">
        <v>66</v>
      </c>
      <c r="AE51" t="s">
        <v>67</v>
      </c>
      <c r="AG51" s="10" t="s">
        <v>53</v>
      </c>
      <c r="AH51" t="s">
        <v>59</v>
      </c>
      <c r="AJ51" s="10" t="s">
        <v>53</v>
      </c>
      <c r="AK51" t="s">
        <v>65</v>
      </c>
      <c r="AL51" t="s">
        <v>66</v>
      </c>
      <c r="AM51" t="s">
        <v>67</v>
      </c>
      <c r="BE51">
        <v>0</v>
      </c>
      <c r="BF51">
        <v>0</v>
      </c>
      <c r="BG51">
        <v>0</v>
      </c>
      <c r="BH51">
        <v>0</v>
      </c>
    </row>
    <row r="52" spans="1:69" x14ac:dyDescent="0.3">
      <c r="A52" s="11" t="s">
        <v>12</v>
      </c>
      <c r="B52" s="13">
        <v>7.5761316899999995</v>
      </c>
      <c r="D52" s="11" t="s">
        <v>12</v>
      </c>
      <c r="E52" s="13">
        <v>9.4214543500000012</v>
      </c>
      <c r="F52" s="13">
        <v>7.3297393600000014</v>
      </c>
      <c r="G52" s="13">
        <v>7.5761316899999995</v>
      </c>
      <c r="I52" s="11" t="s">
        <v>12</v>
      </c>
      <c r="J52" s="13">
        <v>83.463353339999998</v>
      </c>
      <c r="L52" s="11" t="s">
        <v>12</v>
      </c>
      <c r="M52" s="13">
        <v>68.527716150000003</v>
      </c>
      <c r="N52" s="13">
        <v>81.907311340000007</v>
      </c>
      <c r="O52" s="13">
        <v>83.463353339999998</v>
      </c>
      <c r="Q52" s="11" t="s">
        <v>12</v>
      </c>
      <c r="R52">
        <v>43593</v>
      </c>
      <c r="T52" s="11" t="s">
        <v>12</v>
      </c>
      <c r="U52">
        <v>53648</v>
      </c>
      <c r="V52">
        <v>46019</v>
      </c>
      <c r="W52">
        <v>43593</v>
      </c>
      <c r="Y52" s="11" t="s">
        <v>12</v>
      </c>
      <c r="Z52">
        <v>54459.8</v>
      </c>
      <c r="AB52" s="11" t="s">
        <v>12</v>
      </c>
      <c r="AC52">
        <v>69248.7</v>
      </c>
      <c r="AD52">
        <v>52658.999999999993</v>
      </c>
      <c r="AE52">
        <v>54459.8</v>
      </c>
      <c r="AG52" s="11" t="s">
        <v>12</v>
      </c>
      <c r="AH52" s="13">
        <v>94.64642935000002</v>
      </c>
      <c r="AJ52" s="11" t="s">
        <v>12</v>
      </c>
      <c r="AK52" s="13">
        <v>121.61141532000001</v>
      </c>
      <c r="AL52" s="13">
        <v>87.047345679999992</v>
      </c>
      <c r="AM52" s="13">
        <v>94.64642935000002</v>
      </c>
      <c r="BE52">
        <v>0</v>
      </c>
      <c r="BF52">
        <v>0</v>
      </c>
      <c r="BG52">
        <v>0</v>
      </c>
      <c r="BH52">
        <v>0</v>
      </c>
    </row>
    <row r="53" spans="1:69" x14ac:dyDescent="0.3">
      <c r="A53" s="12" t="s">
        <v>112</v>
      </c>
      <c r="B53" s="13">
        <v>0.26592789999999999</v>
      </c>
      <c r="D53" s="12" t="s">
        <v>117</v>
      </c>
      <c r="E53" s="13">
        <v>1.51279268</v>
      </c>
      <c r="F53" s="13">
        <v>1.4568962999999999</v>
      </c>
      <c r="G53" s="13">
        <v>0.98892862999999998</v>
      </c>
      <c r="I53" s="12" t="s">
        <v>117</v>
      </c>
      <c r="J53" s="13">
        <v>10.12366984</v>
      </c>
      <c r="L53" s="12" t="s">
        <v>117</v>
      </c>
      <c r="M53" s="13">
        <v>12.40592584</v>
      </c>
      <c r="N53" s="13">
        <v>14.631044149999999</v>
      </c>
      <c r="O53" s="13">
        <v>10.12366984</v>
      </c>
      <c r="Q53" s="12" t="s">
        <v>117</v>
      </c>
      <c r="R53">
        <v>5690</v>
      </c>
      <c r="T53" s="12" t="s">
        <v>117</v>
      </c>
      <c r="U53">
        <v>8614</v>
      </c>
      <c r="V53">
        <v>8383</v>
      </c>
      <c r="W53">
        <v>5690</v>
      </c>
      <c r="Y53" s="12" t="s">
        <v>117</v>
      </c>
      <c r="Z53">
        <v>5620.8</v>
      </c>
      <c r="AB53" s="12" t="s">
        <v>117</v>
      </c>
      <c r="AC53">
        <v>6943.7</v>
      </c>
      <c r="AD53">
        <v>5729.6</v>
      </c>
      <c r="AE53">
        <v>5620.8</v>
      </c>
      <c r="AG53" s="12" t="s">
        <v>117</v>
      </c>
      <c r="AH53" s="13">
        <v>9.7684796600000006</v>
      </c>
      <c r="AJ53" s="12" t="s">
        <v>117</v>
      </c>
      <c r="AK53" s="13">
        <v>12.19411356</v>
      </c>
      <c r="AL53" s="13">
        <v>9.9575688699999994</v>
      </c>
      <c r="AM53" s="13">
        <v>9.7684796600000006</v>
      </c>
      <c r="BE53">
        <v>0</v>
      </c>
      <c r="BF53">
        <v>0</v>
      </c>
      <c r="BG53">
        <v>0</v>
      </c>
      <c r="BH53">
        <v>0</v>
      </c>
    </row>
    <row r="54" spans="1:69" x14ac:dyDescent="0.3">
      <c r="A54" s="12" t="s">
        <v>120</v>
      </c>
      <c r="B54" s="13">
        <v>0.28365016999999998</v>
      </c>
      <c r="D54" s="12" t="s">
        <v>118</v>
      </c>
      <c r="E54" s="13">
        <v>2.6364485700000002</v>
      </c>
      <c r="F54" s="13">
        <v>1.71400694</v>
      </c>
      <c r="G54" s="13">
        <v>1.72960951</v>
      </c>
      <c r="I54" s="12" t="s">
        <v>118</v>
      </c>
      <c r="J54" s="13">
        <v>14.942018790000001</v>
      </c>
      <c r="L54" s="12" t="s">
        <v>118</v>
      </c>
      <c r="M54" s="13">
        <v>17.896421140000001</v>
      </c>
      <c r="N54" s="13">
        <v>14.310960469999999</v>
      </c>
      <c r="O54" s="13">
        <v>14.942018790000001</v>
      </c>
      <c r="Q54" s="12" t="s">
        <v>118</v>
      </c>
      <c r="R54">
        <v>9952</v>
      </c>
      <c r="T54" s="12" t="s">
        <v>118</v>
      </c>
      <c r="U54">
        <v>15013</v>
      </c>
      <c r="V54">
        <v>9862</v>
      </c>
      <c r="W54">
        <v>9952</v>
      </c>
      <c r="Y54" s="12" t="s">
        <v>118</v>
      </c>
      <c r="Z54">
        <v>6660.6</v>
      </c>
      <c r="AB54" s="12" t="s">
        <v>118</v>
      </c>
      <c r="AC54">
        <v>8388.6</v>
      </c>
      <c r="AD54">
        <v>6891.5</v>
      </c>
      <c r="AE54">
        <v>6660.6</v>
      </c>
      <c r="AG54" s="12" t="s">
        <v>118</v>
      </c>
      <c r="AH54" s="13">
        <v>11.575474059999999</v>
      </c>
      <c r="AJ54" s="12" t="s">
        <v>118</v>
      </c>
      <c r="AK54" s="13">
        <v>14.73170837</v>
      </c>
      <c r="AL54" s="13">
        <v>11.976882659999999</v>
      </c>
      <c r="AM54" s="13">
        <v>11.575474059999999</v>
      </c>
      <c r="BE54">
        <v>0</v>
      </c>
      <c r="BF54">
        <v>0</v>
      </c>
      <c r="BG54">
        <v>0</v>
      </c>
      <c r="BH54">
        <v>0</v>
      </c>
    </row>
    <row r="55" spans="1:69" x14ac:dyDescent="0.3">
      <c r="A55" s="12" t="s">
        <v>111</v>
      </c>
      <c r="B55" s="13">
        <v>0.39339384999999999</v>
      </c>
      <c r="D55" s="12" t="s">
        <v>119</v>
      </c>
      <c r="E55" s="13">
        <v>1.6485501199999999</v>
      </c>
      <c r="F55" s="13">
        <v>1.2901895699999999</v>
      </c>
      <c r="G55" s="13">
        <v>1.20823328</v>
      </c>
      <c r="I55" s="12" t="s">
        <v>119</v>
      </c>
      <c r="J55" s="13">
        <v>9.7652754300000009</v>
      </c>
      <c r="L55" s="12" t="s">
        <v>119</v>
      </c>
      <c r="M55" s="13">
        <v>10.77570504</v>
      </c>
      <c r="N55" s="13">
        <v>9.7550820999999992</v>
      </c>
      <c r="O55" s="13">
        <v>9.7652754300000009</v>
      </c>
      <c r="Q55" s="12" t="s">
        <v>119</v>
      </c>
      <c r="R55">
        <v>6952</v>
      </c>
      <c r="T55" s="12" t="s">
        <v>119</v>
      </c>
      <c r="U55">
        <v>9387</v>
      </c>
      <c r="V55">
        <v>7424</v>
      </c>
      <c r="W55">
        <v>6952</v>
      </c>
      <c r="Y55" s="12" t="s">
        <v>119</v>
      </c>
      <c r="Z55">
        <v>7119.3</v>
      </c>
      <c r="AB55" s="12" t="s">
        <v>119</v>
      </c>
      <c r="AC55">
        <v>8711.5</v>
      </c>
      <c r="AD55">
        <v>7610.2</v>
      </c>
      <c r="AE55">
        <v>7119.3</v>
      </c>
      <c r="AG55" s="12" t="s">
        <v>119</v>
      </c>
      <c r="AH55" s="13">
        <v>12.37275166</v>
      </c>
      <c r="AJ55" s="12" t="s">
        <v>119</v>
      </c>
      <c r="AK55" s="13">
        <v>15.298768020000001</v>
      </c>
      <c r="AL55" s="13">
        <v>13.22581967</v>
      </c>
      <c r="AM55" s="13">
        <v>12.37275166</v>
      </c>
      <c r="BE55">
        <v>0</v>
      </c>
      <c r="BF55">
        <v>0</v>
      </c>
      <c r="BG55">
        <v>0</v>
      </c>
      <c r="BH55">
        <v>0</v>
      </c>
    </row>
    <row r="56" spans="1:69" x14ac:dyDescent="0.3">
      <c r="A56" s="12" t="s">
        <v>102</v>
      </c>
      <c r="B56" s="13">
        <v>0.52048738000000005</v>
      </c>
      <c r="D56" s="12" t="s">
        <v>102</v>
      </c>
      <c r="E56" s="13">
        <v>0.44888614999999998</v>
      </c>
      <c r="F56" s="13">
        <v>0.17475412000000001</v>
      </c>
      <c r="G56" s="13">
        <v>0.52048738000000005</v>
      </c>
      <c r="I56" s="12" t="s">
        <v>102</v>
      </c>
      <c r="J56" s="13">
        <v>5.9263495400000004</v>
      </c>
      <c r="L56" s="12" t="s">
        <v>102</v>
      </c>
      <c r="M56" s="13">
        <v>4.20482522</v>
      </c>
      <c r="N56" s="13">
        <v>8.7284953400000003</v>
      </c>
      <c r="O56" s="13">
        <v>5.9263495400000004</v>
      </c>
      <c r="Q56" s="12" t="s">
        <v>102</v>
      </c>
      <c r="R56">
        <v>2995</v>
      </c>
      <c r="T56" s="12" t="s">
        <v>102</v>
      </c>
      <c r="U56">
        <v>2556</v>
      </c>
      <c r="V56">
        <v>2189</v>
      </c>
      <c r="W56">
        <v>2995</v>
      </c>
      <c r="Y56" s="12" t="s">
        <v>102</v>
      </c>
      <c r="Z56">
        <v>5053.5</v>
      </c>
      <c r="AB56" s="12" t="s">
        <v>102</v>
      </c>
      <c r="AC56">
        <v>6078.9</v>
      </c>
      <c r="AD56">
        <v>2907.3</v>
      </c>
      <c r="AE56">
        <v>5053.5</v>
      </c>
      <c r="AG56" s="12" t="s">
        <v>102</v>
      </c>
      <c r="AH56" s="13">
        <v>8.7825967200000008</v>
      </c>
      <c r="AJ56" s="12" t="s">
        <v>102</v>
      </c>
      <c r="AK56" s="13">
        <v>10.675500850000001</v>
      </c>
      <c r="AL56" s="13">
        <v>2.5021104599999999</v>
      </c>
      <c r="AM56" s="13">
        <v>8.7825967200000008</v>
      </c>
      <c r="BE56">
        <v>0</v>
      </c>
      <c r="BF56">
        <v>0</v>
      </c>
      <c r="BG56">
        <v>0</v>
      </c>
      <c r="BH56">
        <v>0</v>
      </c>
    </row>
    <row r="57" spans="1:69" x14ac:dyDescent="0.3">
      <c r="A57" s="12" t="s">
        <v>121</v>
      </c>
      <c r="B57" s="13">
        <v>0.59574768</v>
      </c>
      <c r="D57" s="12" t="s">
        <v>103</v>
      </c>
      <c r="E57" s="13">
        <v>0.81177657999999997</v>
      </c>
      <c r="F57" s="13">
        <v>0.24537043</v>
      </c>
      <c r="G57" s="13">
        <v>0.70423685999999996</v>
      </c>
      <c r="I57" s="12" t="s">
        <v>103</v>
      </c>
      <c r="J57" s="13">
        <v>7.2092780200000002</v>
      </c>
      <c r="L57" s="12" t="s">
        <v>103</v>
      </c>
      <c r="M57" s="13">
        <v>6.65711838</v>
      </c>
      <c r="N57" s="13">
        <v>10.865604510000001</v>
      </c>
      <c r="O57" s="13">
        <v>7.2092780200000002</v>
      </c>
      <c r="Q57" s="12" t="s">
        <v>103</v>
      </c>
      <c r="R57">
        <v>4052</v>
      </c>
      <c r="T57" s="12" t="s">
        <v>103</v>
      </c>
      <c r="U57">
        <v>4622</v>
      </c>
      <c r="V57">
        <v>3073</v>
      </c>
      <c r="W57">
        <v>4052</v>
      </c>
      <c r="Y57" s="12" t="s">
        <v>103</v>
      </c>
      <c r="Z57">
        <v>5620.8</v>
      </c>
      <c r="AB57" s="12" t="s">
        <v>103</v>
      </c>
      <c r="AC57">
        <v>6943.7</v>
      </c>
      <c r="AD57">
        <v>2828.1</v>
      </c>
      <c r="AE57">
        <v>5620.8</v>
      </c>
      <c r="AG57" s="12" t="s">
        <v>103</v>
      </c>
      <c r="AH57" s="13">
        <v>9.7684796600000006</v>
      </c>
      <c r="AJ57" s="12" t="s">
        <v>103</v>
      </c>
      <c r="AK57" s="13">
        <v>12.19411356</v>
      </c>
      <c r="AL57" s="13">
        <v>2.2582308499999999</v>
      </c>
      <c r="AM57" s="13">
        <v>9.7684796600000006</v>
      </c>
      <c r="BE57">
        <v>0</v>
      </c>
      <c r="BF57">
        <v>0</v>
      </c>
      <c r="BG57">
        <v>0</v>
      </c>
      <c r="BH57">
        <v>0</v>
      </c>
    </row>
    <row r="58" spans="1:69" x14ac:dyDescent="0.3">
      <c r="A58" s="12" t="s">
        <v>103</v>
      </c>
      <c r="B58" s="13">
        <v>0.70423685999999996</v>
      </c>
      <c r="D58" s="12" t="s">
        <v>104</v>
      </c>
      <c r="E58" s="13">
        <v>0.91632027000000005</v>
      </c>
      <c r="F58" s="13">
        <v>1.03560827</v>
      </c>
      <c r="G58" s="13">
        <v>0.88591642999999998</v>
      </c>
      <c r="I58" s="12" t="s">
        <v>104</v>
      </c>
      <c r="J58" s="13">
        <v>7.6500272100000002</v>
      </c>
      <c r="L58" s="12" t="s">
        <v>104</v>
      </c>
      <c r="M58" s="13">
        <v>6.2200543399999999</v>
      </c>
      <c r="N58" s="13">
        <v>8.7048064200000006</v>
      </c>
      <c r="O58" s="13">
        <v>7.6500272100000002</v>
      </c>
      <c r="Q58" s="12" t="s">
        <v>104</v>
      </c>
      <c r="R58">
        <v>5098</v>
      </c>
      <c r="T58" s="12" t="s">
        <v>104</v>
      </c>
      <c r="U58">
        <v>5218</v>
      </c>
      <c r="V58">
        <v>5959</v>
      </c>
      <c r="W58">
        <v>5098</v>
      </c>
      <c r="Y58" s="12" t="s">
        <v>104</v>
      </c>
      <c r="Z58">
        <v>6663.5</v>
      </c>
      <c r="AB58" s="12" t="s">
        <v>104</v>
      </c>
      <c r="AC58">
        <v>8388.6</v>
      </c>
      <c r="AD58">
        <v>6845.6</v>
      </c>
      <c r="AE58">
        <v>6663.5</v>
      </c>
      <c r="AG58" s="12" t="s">
        <v>104</v>
      </c>
      <c r="AH58" s="13">
        <v>11.58056581</v>
      </c>
      <c r="AJ58" s="12" t="s">
        <v>104</v>
      </c>
      <c r="AK58" s="13">
        <v>14.73170837</v>
      </c>
      <c r="AL58" s="13">
        <v>11.896970700000001</v>
      </c>
      <c r="AM58" s="13">
        <v>11.58056581</v>
      </c>
      <c r="BE58">
        <v>0</v>
      </c>
      <c r="BF58">
        <v>0</v>
      </c>
      <c r="BG58">
        <v>0</v>
      </c>
      <c r="BH58">
        <v>0</v>
      </c>
    </row>
    <row r="59" spans="1:69" x14ac:dyDescent="0.3">
      <c r="A59" s="12" t="s">
        <v>104</v>
      </c>
      <c r="B59" s="13">
        <v>0.88591642999999998</v>
      </c>
      <c r="D59" s="12" t="s">
        <v>120</v>
      </c>
      <c r="E59" s="13">
        <v>0</v>
      </c>
      <c r="F59" s="13">
        <v>0.58710339</v>
      </c>
      <c r="G59" s="13">
        <v>0.28365016999999998</v>
      </c>
      <c r="I59" s="12" t="s">
        <v>120</v>
      </c>
      <c r="J59" s="13">
        <v>2.2843578199999999</v>
      </c>
      <c r="L59" s="12" t="s">
        <v>120</v>
      </c>
      <c r="M59" s="13">
        <v>0</v>
      </c>
      <c r="N59" s="13">
        <v>4.4751295500000001</v>
      </c>
      <c r="O59" s="13">
        <v>2.2843578199999999</v>
      </c>
      <c r="Q59" s="12" t="s">
        <v>120</v>
      </c>
      <c r="R59">
        <v>1632</v>
      </c>
      <c r="T59" s="12" t="s">
        <v>120</v>
      </c>
      <c r="U59">
        <v>0</v>
      </c>
      <c r="V59">
        <v>3378</v>
      </c>
      <c r="W59">
        <v>1632</v>
      </c>
      <c r="Y59" s="12" t="s">
        <v>120</v>
      </c>
      <c r="Z59">
        <v>7144.8</v>
      </c>
      <c r="AB59" s="12" t="s">
        <v>120</v>
      </c>
      <c r="AC59">
        <v>0</v>
      </c>
      <c r="AD59">
        <v>7548.9</v>
      </c>
      <c r="AE59">
        <v>7144.8</v>
      </c>
      <c r="AG59" s="12" t="s">
        <v>120</v>
      </c>
      <c r="AH59" s="13">
        <v>12.41706385</v>
      </c>
      <c r="AJ59" s="12" t="s">
        <v>120</v>
      </c>
      <c r="AK59" s="13">
        <v>0</v>
      </c>
      <c r="AL59" s="13">
        <v>13.119249050000001</v>
      </c>
      <c r="AM59" s="13">
        <v>12.41706385</v>
      </c>
      <c r="BE59">
        <v>0</v>
      </c>
      <c r="BF59">
        <v>0</v>
      </c>
      <c r="BG59">
        <v>0</v>
      </c>
      <c r="BH59">
        <v>0</v>
      </c>
    </row>
    <row r="60" spans="1:69" x14ac:dyDescent="0.3">
      <c r="A60" s="12" t="s">
        <v>117</v>
      </c>
      <c r="B60" s="13">
        <v>0.98892862999999998</v>
      </c>
      <c r="D60" s="12" t="s">
        <v>121</v>
      </c>
      <c r="E60" s="13">
        <v>0.40951600999999999</v>
      </c>
      <c r="F60" s="13">
        <v>0.41347977000000002</v>
      </c>
      <c r="G60" s="13">
        <v>0.59574768</v>
      </c>
      <c r="I60" s="12" t="s">
        <v>121</v>
      </c>
      <c r="J60" s="13">
        <v>16.668915640000002</v>
      </c>
      <c r="L60" s="12" t="s">
        <v>121</v>
      </c>
      <c r="M60" s="13">
        <v>3.3514663699999998</v>
      </c>
      <c r="N60" s="13">
        <v>4.1524168699999997</v>
      </c>
      <c r="O60" s="13">
        <v>16.668915640000002</v>
      </c>
      <c r="Q60" s="12" t="s">
        <v>121</v>
      </c>
      <c r="R60">
        <v>3428</v>
      </c>
      <c r="T60" s="12" t="s">
        <v>121</v>
      </c>
      <c r="U60">
        <v>2332</v>
      </c>
      <c r="V60">
        <v>2379</v>
      </c>
      <c r="W60">
        <v>3428</v>
      </c>
      <c r="Y60" s="12" t="s">
        <v>121</v>
      </c>
      <c r="Z60">
        <v>2056.5</v>
      </c>
      <c r="AB60" s="12" t="s">
        <v>121</v>
      </c>
      <c r="AC60">
        <v>6957.8</v>
      </c>
      <c r="AD60">
        <v>5729.6</v>
      </c>
      <c r="AE60">
        <v>2056.5</v>
      </c>
      <c r="AG60" s="12" t="s">
        <v>121</v>
      </c>
      <c r="AH60" s="13">
        <v>3.5740037899999999</v>
      </c>
      <c r="AJ60" s="12" t="s">
        <v>121</v>
      </c>
      <c r="AK60" s="13">
        <v>12.21901001</v>
      </c>
      <c r="AL60" s="13">
        <v>9.9575688699999994</v>
      </c>
      <c r="AM60" s="13">
        <v>3.5740037899999999</v>
      </c>
    </row>
    <row r="61" spans="1:69" x14ac:dyDescent="0.3">
      <c r="A61" s="12" t="s">
        <v>119</v>
      </c>
      <c r="B61" s="13">
        <v>1.20823328</v>
      </c>
      <c r="D61" s="12" t="s">
        <v>111</v>
      </c>
      <c r="E61" s="13">
        <v>0.52511121000000005</v>
      </c>
      <c r="F61" s="13">
        <v>0.25410451000000001</v>
      </c>
      <c r="G61" s="13">
        <v>0.39339384999999999</v>
      </c>
      <c r="I61" s="12" t="s">
        <v>111</v>
      </c>
      <c r="J61" s="13">
        <v>5.2751811200000001</v>
      </c>
      <c r="L61" s="12" t="s">
        <v>111</v>
      </c>
      <c r="M61" s="13">
        <v>3.5644963600000001</v>
      </c>
      <c r="N61" s="13">
        <v>3.89982936</v>
      </c>
      <c r="O61" s="13">
        <v>5.2751811200000001</v>
      </c>
      <c r="Q61" s="12" t="s">
        <v>111</v>
      </c>
      <c r="R61">
        <v>2264</v>
      </c>
      <c r="T61" s="12" t="s">
        <v>111</v>
      </c>
      <c r="U61">
        <v>2990</v>
      </c>
      <c r="V61">
        <v>1462</v>
      </c>
      <c r="W61">
        <v>2264</v>
      </c>
      <c r="Y61" s="12" t="s">
        <v>111</v>
      </c>
      <c r="Z61">
        <v>4291</v>
      </c>
      <c r="AB61" s="12" t="s">
        <v>111</v>
      </c>
      <c r="AC61">
        <v>8388.6</v>
      </c>
      <c r="AD61">
        <v>2749.2</v>
      </c>
      <c r="AE61">
        <v>4291</v>
      </c>
      <c r="AG61" s="12" t="s">
        <v>111</v>
      </c>
      <c r="AH61" s="13">
        <v>7.4574472199999997</v>
      </c>
      <c r="AJ61" s="12" t="s">
        <v>111</v>
      </c>
      <c r="AK61" s="13">
        <v>14.73170837</v>
      </c>
      <c r="AL61" s="13">
        <v>6.51578546</v>
      </c>
      <c r="AM61" s="13">
        <v>7.4574472199999997</v>
      </c>
    </row>
    <row r="62" spans="1:69" x14ac:dyDescent="0.3">
      <c r="A62" s="12" t="s">
        <v>118</v>
      </c>
      <c r="B62" s="13">
        <v>1.72960951</v>
      </c>
      <c r="D62" s="12" t="s">
        <v>112</v>
      </c>
      <c r="E62" s="13">
        <v>0.51205276</v>
      </c>
      <c r="F62" s="13">
        <v>0.15822606</v>
      </c>
      <c r="G62" s="13">
        <v>0.26592789999999999</v>
      </c>
      <c r="I62" s="12" t="s">
        <v>112</v>
      </c>
      <c r="J62" s="13">
        <v>3.6182799299999999</v>
      </c>
      <c r="L62" s="12" t="s">
        <v>112</v>
      </c>
      <c r="M62" s="13">
        <v>3.4517034600000001</v>
      </c>
      <c r="N62" s="13">
        <v>2.3839425699999999</v>
      </c>
      <c r="O62" s="13">
        <v>3.6182799299999999</v>
      </c>
      <c r="Q62" s="12" t="s">
        <v>112</v>
      </c>
      <c r="R62">
        <v>1530</v>
      </c>
      <c r="T62" s="12" t="s">
        <v>112</v>
      </c>
      <c r="U62">
        <v>2916</v>
      </c>
      <c r="V62">
        <v>1910</v>
      </c>
      <c r="W62">
        <v>1530</v>
      </c>
      <c r="Y62" s="12" t="s">
        <v>112</v>
      </c>
      <c r="Z62">
        <v>4229</v>
      </c>
      <c r="AB62" s="12" t="s">
        <v>112</v>
      </c>
      <c r="AC62">
        <v>8447.2999999999993</v>
      </c>
      <c r="AD62">
        <v>3819</v>
      </c>
      <c r="AE62">
        <v>4229</v>
      </c>
      <c r="AG62" s="12" t="s">
        <v>112</v>
      </c>
      <c r="AH62" s="13">
        <v>7.34956692</v>
      </c>
      <c r="AJ62" s="12" t="s">
        <v>112</v>
      </c>
      <c r="AK62" s="13">
        <v>14.83478421</v>
      </c>
      <c r="AL62" s="13">
        <v>5.6371590899999999</v>
      </c>
      <c r="AM62" s="13">
        <v>7.34956692</v>
      </c>
    </row>
    <row r="63" spans="1:69" x14ac:dyDescent="0.3">
      <c r="A63" s="11" t="s">
        <v>10</v>
      </c>
      <c r="B63" s="13">
        <v>4.9533573899999999</v>
      </c>
      <c r="D63" s="11" t="s">
        <v>10</v>
      </c>
      <c r="E63" s="13">
        <v>4.2766674199999999</v>
      </c>
      <c r="F63" s="13">
        <v>5.7058598199999988</v>
      </c>
      <c r="G63" s="13">
        <v>4.9533573899999999</v>
      </c>
      <c r="I63" s="11" t="s">
        <v>10</v>
      </c>
      <c r="J63" s="13">
        <v>83.051560770000009</v>
      </c>
      <c r="L63" s="11" t="s">
        <v>10</v>
      </c>
      <c r="M63" s="13">
        <v>60.352069280000002</v>
      </c>
      <c r="N63" s="13">
        <v>71.217837369999998</v>
      </c>
      <c r="O63" s="13">
        <v>83.051560770000009</v>
      </c>
      <c r="Q63" s="11" t="s">
        <v>10</v>
      </c>
      <c r="R63">
        <v>61181</v>
      </c>
      <c r="T63" s="11" t="s">
        <v>10</v>
      </c>
      <c r="U63">
        <v>50800</v>
      </c>
      <c r="V63">
        <v>71457</v>
      </c>
      <c r="W63">
        <v>61181</v>
      </c>
      <c r="Y63" s="11" t="s">
        <v>10</v>
      </c>
      <c r="Z63">
        <v>80073.3</v>
      </c>
      <c r="AB63" s="11" t="s">
        <v>10</v>
      </c>
      <c r="AC63">
        <v>98292.099999999991</v>
      </c>
      <c r="AD63">
        <v>88930.499999999985</v>
      </c>
      <c r="AE63">
        <v>80073.3</v>
      </c>
      <c r="AG63" s="11" t="s">
        <v>10</v>
      </c>
      <c r="AH63" s="13">
        <v>65.292772990000003</v>
      </c>
      <c r="AJ63" s="11" t="s">
        <v>10</v>
      </c>
      <c r="AK63" s="13">
        <v>78.532633880000006</v>
      </c>
      <c r="AL63" s="13">
        <v>76.101644559999997</v>
      </c>
      <c r="AM63" s="13">
        <v>65.292772990000003</v>
      </c>
    </row>
    <row r="64" spans="1:69" x14ac:dyDescent="0.3">
      <c r="A64" s="12" t="s">
        <v>112</v>
      </c>
      <c r="B64" s="13">
        <v>0.14217258999999999</v>
      </c>
      <c r="D64" s="12" t="s">
        <v>117</v>
      </c>
      <c r="E64" s="13">
        <v>0.47074286999999998</v>
      </c>
      <c r="F64" s="13">
        <v>0.93863563000000005</v>
      </c>
      <c r="G64" s="13">
        <v>0.64755843000000002</v>
      </c>
      <c r="I64" s="12" t="s">
        <v>117</v>
      </c>
      <c r="J64" s="13">
        <v>8.4686743100000008</v>
      </c>
      <c r="L64" s="12" t="s">
        <v>117</v>
      </c>
      <c r="M64" s="13">
        <v>8.0908352000000008</v>
      </c>
      <c r="N64" s="13">
        <v>12.257626719999999</v>
      </c>
      <c r="O64" s="13">
        <v>8.4686743100000008</v>
      </c>
      <c r="Q64" s="12" t="s">
        <v>117</v>
      </c>
      <c r="R64">
        <v>8110</v>
      </c>
      <c r="T64" s="12" t="s">
        <v>117</v>
      </c>
      <c r="U64">
        <v>5587</v>
      </c>
      <c r="V64">
        <v>11755</v>
      </c>
      <c r="W64">
        <v>8110</v>
      </c>
      <c r="Y64" s="12" t="s">
        <v>117</v>
      </c>
      <c r="Z64">
        <v>9576</v>
      </c>
      <c r="AB64" s="12" t="s">
        <v>117</v>
      </c>
      <c r="AC64">
        <v>5968.9</v>
      </c>
      <c r="AD64">
        <v>9589.7999999999993</v>
      </c>
      <c r="AE64">
        <v>9576</v>
      </c>
      <c r="AG64" s="12" t="s">
        <v>117</v>
      </c>
      <c r="AH64" s="13">
        <v>7.6465147800000004</v>
      </c>
      <c r="AJ64" s="12" t="s">
        <v>117</v>
      </c>
      <c r="AK64" s="13">
        <v>4.2284795500000003</v>
      </c>
      <c r="AL64" s="13">
        <v>7.6575641699999997</v>
      </c>
      <c r="AM64" s="13">
        <v>7.6465147800000004</v>
      </c>
    </row>
    <row r="65" spans="1:39" x14ac:dyDescent="0.3">
      <c r="A65" s="12" t="s">
        <v>120</v>
      </c>
      <c r="B65" s="13">
        <v>0.21276323999999999</v>
      </c>
      <c r="D65" s="12" t="s">
        <v>118</v>
      </c>
      <c r="E65" s="13">
        <v>0.28718473</v>
      </c>
      <c r="F65" s="13">
        <v>1.1530855200000001</v>
      </c>
      <c r="G65" s="13">
        <v>1.1552457</v>
      </c>
      <c r="I65" s="12" t="s">
        <v>118</v>
      </c>
      <c r="J65" s="13">
        <v>12.82558184</v>
      </c>
      <c r="L65" s="12" t="s">
        <v>118</v>
      </c>
      <c r="M65" s="13">
        <v>10.73836369</v>
      </c>
      <c r="N65" s="13">
        <v>12.81384446</v>
      </c>
      <c r="O65" s="13">
        <v>12.82558184</v>
      </c>
      <c r="Q65" s="12" t="s">
        <v>118</v>
      </c>
      <c r="R65">
        <v>14468</v>
      </c>
      <c r="T65" s="12" t="s">
        <v>118</v>
      </c>
      <c r="U65">
        <v>3753</v>
      </c>
      <c r="V65">
        <v>14440</v>
      </c>
      <c r="W65">
        <v>14468</v>
      </c>
      <c r="Y65" s="12" t="s">
        <v>118</v>
      </c>
      <c r="Z65">
        <v>11280.2</v>
      </c>
      <c r="AB65" s="12" t="s">
        <v>118</v>
      </c>
      <c r="AC65">
        <v>3789.3</v>
      </c>
      <c r="AD65">
        <v>11269.4</v>
      </c>
      <c r="AE65">
        <v>11280.2</v>
      </c>
      <c r="AG65" s="12" t="s">
        <v>118</v>
      </c>
      <c r="AH65" s="13">
        <v>9.00735508</v>
      </c>
      <c r="AJ65" s="12" t="s">
        <v>118</v>
      </c>
      <c r="AK65" s="13">
        <v>2.9544868200000001</v>
      </c>
      <c r="AL65" s="13">
        <v>8.99874756</v>
      </c>
      <c r="AM65" s="13">
        <v>9.00735508</v>
      </c>
    </row>
    <row r="66" spans="1:39" x14ac:dyDescent="0.3">
      <c r="A66" s="12" t="s">
        <v>121</v>
      </c>
      <c r="B66" s="13">
        <v>0.27971040000000003</v>
      </c>
      <c r="D66" s="12" t="s">
        <v>119</v>
      </c>
      <c r="E66" s="13">
        <v>1.01541149</v>
      </c>
      <c r="F66" s="13">
        <v>0.80526675999999997</v>
      </c>
      <c r="G66" s="13">
        <v>0.77006293000000003</v>
      </c>
      <c r="I66" s="12" t="s">
        <v>119</v>
      </c>
      <c r="J66" s="13">
        <v>7.9551219499999997</v>
      </c>
      <c r="L66" s="12" t="s">
        <v>119</v>
      </c>
      <c r="M66" s="13">
        <v>9.0596655599999991</v>
      </c>
      <c r="N66" s="13">
        <v>8.2927637900000004</v>
      </c>
      <c r="O66" s="13">
        <v>7.9551219499999997</v>
      </c>
      <c r="Q66" s="12" t="s">
        <v>119</v>
      </c>
      <c r="R66">
        <v>9644</v>
      </c>
      <c r="T66" s="12" t="s">
        <v>119</v>
      </c>
      <c r="U66">
        <v>12563</v>
      </c>
      <c r="V66">
        <v>10085</v>
      </c>
      <c r="W66">
        <v>9644</v>
      </c>
      <c r="Y66" s="12" t="s">
        <v>119</v>
      </c>
      <c r="Z66">
        <v>12122.7</v>
      </c>
      <c r="AB66" s="12" t="s">
        <v>119</v>
      </c>
      <c r="AC66">
        <v>13867</v>
      </c>
      <c r="AD66">
        <v>10160.700000000001</v>
      </c>
      <c r="AE66">
        <v>12122.7</v>
      </c>
      <c r="AG66" s="12" t="s">
        <v>119</v>
      </c>
      <c r="AH66" s="13">
        <v>9.6800896200000004</v>
      </c>
      <c r="AJ66" s="12" t="s">
        <v>119</v>
      </c>
      <c r="AK66" s="13">
        <v>11.208046039999999</v>
      </c>
      <c r="AL66" s="13">
        <v>9.7104750600000003</v>
      </c>
      <c r="AM66" s="13">
        <v>9.6800896200000004</v>
      </c>
    </row>
    <row r="67" spans="1:39" x14ac:dyDescent="0.3">
      <c r="A67" s="12" t="s">
        <v>111</v>
      </c>
      <c r="B67" s="13">
        <v>0.30405300000000002</v>
      </c>
      <c r="D67" s="12" t="s">
        <v>102</v>
      </c>
      <c r="E67" s="13">
        <v>0.2414616</v>
      </c>
      <c r="F67" s="13">
        <v>0.43711686</v>
      </c>
      <c r="G67" s="13">
        <v>0.34059085</v>
      </c>
      <c r="I67" s="12" t="s">
        <v>102</v>
      </c>
      <c r="J67" s="13">
        <v>11.433205259999999</v>
      </c>
      <c r="L67" s="12" t="s">
        <v>102</v>
      </c>
      <c r="M67" s="13">
        <v>3.1218023499999998</v>
      </c>
      <c r="N67" s="13">
        <v>7.2452470099999999</v>
      </c>
      <c r="O67" s="13">
        <v>11.433205259999999</v>
      </c>
      <c r="Q67" s="12" t="s">
        <v>102</v>
      </c>
      <c r="R67">
        <v>3897</v>
      </c>
      <c r="T67" s="12" t="s">
        <v>102</v>
      </c>
      <c r="U67">
        <v>2987</v>
      </c>
      <c r="V67">
        <v>5474</v>
      </c>
      <c r="W67">
        <v>3897</v>
      </c>
      <c r="Y67" s="12" t="s">
        <v>102</v>
      </c>
      <c r="Z67">
        <v>3408.2</v>
      </c>
      <c r="AB67" s="12" t="s">
        <v>102</v>
      </c>
      <c r="AC67">
        <v>9569.6</v>
      </c>
      <c r="AD67">
        <v>7555.5</v>
      </c>
      <c r="AE67">
        <v>3408.2</v>
      </c>
      <c r="AG67" s="12" t="s">
        <v>102</v>
      </c>
      <c r="AH67" s="13">
        <v>2.9789620999999999</v>
      </c>
      <c r="AJ67" s="12" t="s">
        <v>102</v>
      </c>
      <c r="AK67" s="13">
        <v>7.73468556</v>
      </c>
      <c r="AL67" s="13">
        <v>6.0331533799999999</v>
      </c>
      <c r="AM67" s="13">
        <v>2.9789620999999999</v>
      </c>
    </row>
    <row r="68" spans="1:39" x14ac:dyDescent="0.3">
      <c r="A68" s="12" t="s">
        <v>102</v>
      </c>
      <c r="B68" s="13">
        <v>0.34059085</v>
      </c>
      <c r="D68" s="12" t="s">
        <v>103</v>
      </c>
      <c r="E68" s="13">
        <v>0.52071352999999998</v>
      </c>
      <c r="F68" s="13">
        <v>0.64310473999999995</v>
      </c>
      <c r="G68" s="13">
        <v>0.44789340999999999</v>
      </c>
      <c r="I68" s="12" t="s">
        <v>103</v>
      </c>
      <c r="J68" s="13">
        <v>13.02064805</v>
      </c>
      <c r="L68" s="12" t="s">
        <v>103</v>
      </c>
      <c r="M68" s="13">
        <v>5.9709536500000002</v>
      </c>
      <c r="N68" s="13">
        <v>8.3982938100000002</v>
      </c>
      <c r="O68" s="13">
        <v>13.02064805</v>
      </c>
      <c r="Q68" s="12" t="s">
        <v>103</v>
      </c>
      <c r="R68">
        <v>5124</v>
      </c>
      <c r="T68" s="12" t="s">
        <v>103</v>
      </c>
      <c r="U68">
        <v>6442</v>
      </c>
      <c r="V68">
        <v>8054</v>
      </c>
      <c r="W68">
        <v>5124</v>
      </c>
      <c r="Y68" s="12" t="s">
        <v>103</v>
      </c>
      <c r="Z68">
        <v>3935.5</v>
      </c>
      <c r="AB68" s="12" t="s">
        <v>103</v>
      </c>
      <c r="AC68">
        <v>10789.6</v>
      </c>
      <c r="AD68">
        <v>9589.7999999999993</v>
      </c>
      <c r="AE68">
        <v>3935.5</v>
      </c>
      <c r="AG68" s="12" t="s">
        <v>103</v>
      </c>
      <c r="AH68" s="13">
        <v>3.43987036</v>
      </c>
      <c r="AJ68" s="12" t="s">
        <v>103</v>
      </c>
      <c r="AK68" s="13">
        <v>8.7207765699999999</v>
      </c>
      <c r="AL68" s="13">
        <v>7.6575641699999997</v>
      </c>
      <c r="AM68" s="13">
        <v>3.43987036</v>
      </c>
    </row>
    <row r="69" spans="1:39" x14ac:dyDescent="0.3">
      <c r="A69" s="12" t="s">
        <v>103</v>
      </c>
      <c r="B69" s="13">
        <v>0.44789340999999999</v>
      </c>
      <c r="D69" s="12" t="s">
        <v>104</v>
      </c>
      <c r="E69" s="13">
        <v>0.58678222000000002</v>
      </c>
      <c r="F69" s="13">
        <v>0.76863612000000003</v>
      </c>
      <c r="G69" s="13">
        <v>0.65330684000000006</v>
      </c>
      <c r="I69" s="12" t="s">
        <v>104</v>
      </c>
      <c r="J69" s="13">
        <v>7.2246008799999997</v>
      </c>
      <c r="L69" s="12" t="s">
        <v>104</v>
      </c>
      <c r="M69" s="13">
        <v>5.5383950500000001</v>
      </c>
      <c r="N69" s="13">
        <v>8.6445259199999995</v>
      </c>
      <c r="O69" s="13">
        <v>7.2246008799999997</v>
      </c>
      <c r="Q69" s="12" t="s">
        <v>104</v>
      </c>
      <c r="R69">
        <v>8182</v>
      </c>
      <c r="T69" s="12" t="s">
        <v>104</v>
      </c>
      <c r="U69">
        <v>7260</v>
      </c>
      <c r="V69">
        <v>9626</v>
      </c>
      <c r="W69">
        <v>8182</v>
      </c>
      <c r="Y69" s="12" t="s">
        <v>104</v>
      </c>
      <c r="Z69">
        <v>11324.6</v>
      </c>
      <c r="AB69" s="12" t="s">
        <v>104</v>
      </c>
      <c r="AC69">
        <v>13108.3</v>
      </c>
      <c r="AD69">
        <v>11135.2</v>
      </c>
      <c r="AE69">
        <v>11324.6</v>
      </c>
      <c r="AG69" s="12" t="s">
        <v>104</v>
      </c>
      <c r="AH69" s="13">
        <v>9.0428087700000006</v>
      </c>
      <c r="AJ69" s="12" t="s">
        <v>104</v>
      </c>
      <c r="AK69" s="13">
        <v>10.594806159999999</v>
      </c>
      <c r="AL69" s="13">
        <v>8.8915936900000005</v>
      </c>
      <c r="AM69" s="13">
        <v>9.0428087700000006</v>
      </c>
    </row>
    <row r="70" spans="1:39" x14ac:dyDescent="0.3">
      <c r="A70" s="12" t="s">
        <v>117</v>
      </c>
      <c r="B70" s="13">
        <v>0.64755843000000002</v>
      </c>
      <c r="D70" s="12" t="s">
        <v>120</v>
      </c>
      <c r="E70" s="13">
        <v>0.24151797999999999</v>
      </c>
      <c r="F70" s="13">
        <v>0.37139583999999998</v>
      </c>
      <c r="G70" s="13">
        <v>0.21276323999999999</v>
      </c>
      <c r="I70" s="12" t="s">
        <v>120</v>
      </c>
      <c r="J70" s="13">
        <v>2.1965613400000001</v>
      </c>
      <c r="L70" s="12" t="s">
        <v>120</v>
      </c>
      <c r="M70" s="13">
        <v>8.78704529</v>
      </c>
      <c r="N70" s="13">
        <v>3.84971094</v>
      </c>
      <c r="O70" s="13">
        <v>2.1965613400000001</v>
      </c>
      <c r="Q70" s="12" t="s">
        <v>120</v>
      </c>
      <c r="R70">
        <v>2665</v>
      </c>
      <c r="T70" s="12" t="s">
        <v>120</v>
      </c>
      <c r="U70">
        <v>914</v>
      </c>
      <c r="V70">
        <v>4651</v>
      </c>
      <c r="W70">
        <v>2665</v>
      </c>
      <c r="Y70" s="12" t="s">
        <v>120</v>
      </c>
      <c r="Z70">
        <v>12130.3</v>
      </c>
      <c r="AB70" s="12" t="s">
        <v>120</v>
      </c>
      <c r="AC70">
        <v>3874.4</v>
      </c>
      <c r="AD70">
        <v>10081.700000000001</v>
      </c>
      <c r="AE70">
        <v>12130.3</v>
      </c>
      <c r="AG70" s="12" t="s">
        <v>120</v>
      </c>
      <c r="AH70" s="13">
        <v>9.6861961300000008</v>
      </c>
      <c r="AJ70" s="12" t="s">
        <v>120</v>
      </c>
      <c r="AK70" s="13">
        <v>2.9232752899999999</v>
      </c>
      <c r="AL70" s="13">
        <v>9.6473695900000003</v>
      </c>
      <c r="AM70" s="13">
        <v>9.6861961300000008</v>
      </c>
    </row>
    <row r="71" spans="1:39" x14ac:dyDescent="0.3">
      <c r="A71" s="12" t="s">
        <v>104</v>
      </c>
      <c r="B71" s="13">
        <v>0.65330684000000006</v>
      </c>
      <c r="D71" s="12" t="s">
        <v>121</v>
      </c>
      <c r="E71" s="13">
        <v>0.24855721</v>
      </c>
      <c r="F71" s="13">
        <v>0.26519346999999999</v>
      </c>
      <c r="G71" s="13">
        <v>0.27971040000000003</v>
      </c>
      <c r="I71" s="12" t="s">
        <v>121</v>
      </c>
      <c r="J71" s="13">
        <v>12.190296549999999</v>
      </c>
      <c r="L71" s="12" t="s">
        <v>121</v>
      </c>
      <c r="M71" s="13">
        <v>2.8566099600000001</v>
      </c>
      <c r="N71" s="13">
        <v>3.46315697</v>
      </c>
      <c r="O71" s="13">
        <v>12.190296549999999</v>
      </c>
      <c r="Q71" s="12" t="s">
        <v>121</v>
      </c>
      <c r="R71">
        <v>3503</v>
      </c>
      <c r="T71" s="12" t="s">
        <v>121</v>
      </c>
      <c r="U71">
        <v>3075</v>
      </c>
      <c r="V71">
        <v>3321</v>
      </c>
      <c r="W71">
        <v>3503</v>
      </c>
      <c r="Y71" s="12" t="s">
        <v>121</v>
      </c>
      <c r="Z71">
        <v>2873.5</v>
      </c>
      <c r="AB71" s="12" t="s">
        <v>121</v>
      </c>
      <c r="AC71">
        <v>10765.3</v>
      </c>
      <c r="AD71">
        <v>9589.7999999999993</v>
      </c>
      <c r="AE71">
        <v>2873.5</v>
      </c>
      <c r="AG71" s="12" t="s">
        <v>121</v>
      </c>
      <c r="AH71" s="13">
        <v>2.2945331499999999</v>
      </c>
      <c r="AJ71" s="12" t="s">
        <v>121</v>
      </c>
      <c r="AK71" s="13">
        <v>8.7011253699999997</v>
      </c>
      <c r="AL71" s="13">
        <v>7.6575641699999997</v>
      </c>
      <c r="AM71" s="13">
        <v>2.2945331499999999</v>
      </c>
    </row>
    <row r="72" spans="1:39" x14ac:dyDescent="0.3">
      <c r="A72" s="12" t="s">
        <v>119</v>
      </c>
      <c r="B72" s="13">
        <v>0.77006293000000003</v>
      </c>
      <c r="D72" s="12" t="s">
        <v>111</v>
      </c>
      <c r="E72" s="13">
        <v>0.32532219000000001</v>
      </c>
      <c r="F72" s="13">
        <v>0.22139713999999999</v>
      </c>
      <c r="G72" s="13">
        <v>0.30405300000000002</v>
      </c>
      <c r="I72" s="12" t="s">
        <v>111</v>
      </c>
      <c r="J72" s="13">
        <v>5.2566730899999996</v>
      </c>
      <c r="L72" s="12" t="s">
        <v>111</v>
      </c>
      <c r="M72" s="13">
        <v>3.0705817999999998</v>
      </c>
      <c r="N72" s="13">
        <v>4.2819157299999997</v>
      </c>
      <c r="O72" s="13">
        <v>5.2566730899999996</v>
      </c>
      <c r="Q72" s="12" t="s">
        <v>111</v>
      </c>
      <c r="R72">
        <v>3808</v>
      </c>
      <c r="T72" s="12" t="s">
        <v>111</v>
      </c>
      <c r="U72">
        <v>4025</v>
      </c>
      <c r="V72">
        <v>2773</v>
      </c>
      <c r="W72">
        <v>3808</v>
      </c>
      <c r="Y72" s="12" t="s">
        <v>111</v>
      </c>
      <c r="Z72">
        <v>7243.6</v>
      </c>
      <c r="AB72" s="12" t="s">
        <v>111</v>
      </c>
      <c r="AC72">
        <v>13108.3</v>
      </c>
      <c r="AD72">
        <v>3475.2</v>
      </c>
      <c r="AE72">
        <v>7243.6</v>
      </c>
      <c r="AG72" s="12" t="s">
        <v>111</v>
      </c>
      <c r="AH72" s="13">
        <v>5.7841337499999996</v>
      </c>
      <c r="AJ72" s="12" t="s">
        <v>111</v>
      </c>
      <c r="AK72" s="13">
        <v>10.594806159999999</v>
      </c>
      <c r="AL72" s="13">
        <v>5.67051602</v>
      </c>
      <c r="AM72" s="13">
        <v>5.7841337499999996</v>
      </c>
    </row>
    <row r="73" spans="1:39" x14ac:dyDescent="0.3">
      <c r="A73" s="12" t="s">
        <v>118</v>
      </c>
      <c r="B73" s="13">
        <v>1.1552457</v>
      </c>
      <c r="D73" s="12" t="s">
        <v>112</v>
      </c>
      <c r="E73" s="13">
        <v>0.33897359999999999</v>
      </c>
      <c r="F73" s="13">
        <v>0.10202774000000001</v>
      </c>
      <c r="G73" s="13">
        <v>0.14217258999999999</v>
      </c>
      <c r="I73" s="12" t="s">
        <v>112</v>
      </c>
      <c r="J73" s="13">
        <v>2.4801975000000001</v>
      </c>
      <c r="L73" s="12" t="s">
        <v>112</v>
      </c>
      <c r="M73" s="13">
        <v>3.1178167299999999</v>
      </c>
      <c r="N73" s="13">
        <v>1.9707520199999999</v>
      </c>
      <c r="O73" s="13">
        <v>2.4801975000000001</v>
      </c>
      <c r="Q73" s="12" t="s">
        <v>112</v>
      </c>
      <c r="R73">
        <v>1780</v>
      </c>
      <c r="T73" s="12" t="s">
        <v>112</v>
      </c>
      <c r="U73">
        <v>4194</v>
      </c>
      <c r="V73">
        <v>1278</v>
      </c>
      <c r="W73">
        <v>1780</v>
      </c>
      <c r="Y73" s="12" t="s">
        <v>112</v>
      </c>
      <c r="Z73">
        <v>6178.7</v>
      </c>
      <c r="AB73" s="12" t="s">
        <v>112</v>
      </c>
      <c r="AC73">
        <v>13451.4</v>
      </c>
      <c r="AD73">
        <v>6483.4</v>
      </c>
      <c r="AE73">
        <v>6178.7</v>
      </c>
      <c r="AG73" s="12" t="s">
        <v>112</v>
      </c>
      <c r="AH73" s="13">
        <v>5.7323092500000001</v>
      </c>
      <c r="AJ73" s="12" t="s">
        <v>112</v>
      </c>
      <c r="AK73" s="13">
        <v>10.87214636</v>
      </c>
      <c r="AL73" s="13">
        <v>4.1770967499999996</v>
      </c>
      <c r="AM73" s="13">
        <v>5.7323092500000001</v>
      </c>
    </row>
    <row r="74" spans="1:39" x14ac:dyDescent="0.3">
      <c r="A74" s="11" t="s">
        <v>11</v>
      </c>
      <c r="B74" s="13">
        <v>7.6965789199999985</v>
      </c>
      <c r="D74" s="11" t="s">
        <v>11</v>
      </c>
      <c r="E74" s="13">
        <v>6.6692668499999996</v>
      </c>
      <c r="F74" s="13">
        <v>7.5758062800000001</v>
      </c>
      <c r="G74" s="13">
        <v>7.6965789199999985</v>
      </c>
      <c r="I74" s="11" t="s">
        <v>11</v>
      </c>
      <c r="J74" s="13">
        <v>81.882469099999994</v>
      </c>
      <c r="L74" s="11" t="s">
        <v>11</v>
      </c>
      <c r="M74" s="13">
        <v>68.386055410000012</v>
      </c>
      <c r="N74" s="13">
        <v>74.841468280000001</v>
      </c>
      <c r="O74" s="13">
        <v>81.882469099999994</v>
      </c>
      <c r="Q74" s="11" t="s">
        <v>11</v>
      </c>
      <c r="R74">
        <v>82334</v>
      </c>
      <c r="T74" s="11" t="s">
        <v>11</v>
      </c>
      <c r="U74">
        <v>70814</v>
      </c>
      <c r="V74">
        <v>86673</v>
      </c>
      <c r="W74">
        <v>82334</v>
      </c>
      <c r="Y74" s="11" t="s">
        <v>11</v>
      </c>
      <c r="Z74">
        <v>104020.4</v>
      </c>
      <c r="AB74" s="11" t="s">
        <v>11</v>
      </c>
      <c r="AC74">
        <v>119066.9</v>
      </c>
      <c r="AD74">
        <v>110485.49999999999</v>
      </c>
      <c r="AE74">
        <v>104020.4</v>
      </c>
      <c r="AG74" s="11" t="s">
        <v>11</v>
      </c>
      <c r="AH74" s="13">
        <v>91.794702020000003</v>
      </c>
      <c r="AJ74" s="11" t="s">
        <v>11</v>
      </c>
      <c r="AK74" s="13">
        <v>105.24213191</v>
      </c>
      <c r="AL74" s="13">
        <v>96.459022710000013</v>
      </c>
      <c r="AM74" s="13">
        <v>91.794702020000003</v>
      </c>
    </row>
    <row r="75" spans="1:39" x14ac:dyDescent="0.3">
      <c r="A75" s="12" t="s">
        <v>112</v>
      </c>
      <c r="B75" s="13">
        <v>0.23006673</v>
      </c>
      <c r="D75" s="12" t="s">
        <v>117</v>
      </c>
      <c r="E75" s="13">
        <v>0.86191302999999997</v>
      </c>
      <c r="F75" s="13">
        <v>1.2581200800000001</v>
      </c>
      <c r="G75" s="13">
        <v>0.88537233000000004</v>
      </c>
      <c r="I75" s="12" t="s">
        <v>117</v>
      </c>
      <c r="J75" s="13">
        <v>9.0526544399999995</v>
      </c>
      <c r="L75" s="12" t="s">
        <v>117</v>
      </c>
      <c r="M75" s="13">
        <v>12.08404801</v>
      </c>
      <c r="N75" s="13">
        <v>12.947980490000001</v>
      </c>
      <c r="O75" s="13">
        <v>9.0526544399999995</v>
      </c>
      <c r="Q75" s="12" t="s">
        <v>117</v>
      </c>
      <c r="R75">
        <v>10129</v>
      </c>
      <c r="T75" s="12" t="s">
        <v>117</v>
      </c>
      <c r="U75">
        <v>8620</v>
      </c>
      <c r="V75">
        <v>14394</v>
      </c>
      <c r="W75">
        <v>10129</v>
      </c>
      <c r="Y75" s="12" t="s">
        <v>117</v>
      </c>
      <c r="Z75">
        <v>11189.4</v>
      </c>
      <c r="AB75" s="12" t="s">
        <v>117</v>
      </c>
      <c r="AC75">
        <v>7776.9</v>
      </c>
      <c r="AD75">
        <v>11116.7</v>
      </c>
      <c r="AE75">
        <v>11189.4</v>
      </c>
      <c r="AG75" s="12" t="s">
        <v>117</v>
      </c>
      <c r="AH75" s="13">
        <v>9.7802509999999998</v>
      </c>
      <c r="AJ75" s="12" t="s">
        <v>117</v>
      </c>
      <c r="AK75" s="13">
        <v>6.8739600000000003</v>
      </c>
      <c r="AL75" s="13">
        <v>9.7167282299999993</v>
      </c>
      <c r="AM75" s="13">
        <v>9.7802509999999998</v>
      </c>
    </row>
    <row r="76" spans="1:39" x14ac:dyDescent="0.3">
      <c r="A76" s="12" t="s">
        <v>120</v>
      </c>
      <c r="B76" s="13">
        <v>0.32282487999999998</v>
      </c>
      <c r="D76" s="12" t="s">
        <v>118</v>
      </c>
      <c r="E76" s="13">
        <v>0.49247421000000002</v>
      </c>
      <c r="F76" s="13">
        <v>1.53390121</v>
      </c>
      <c r="G76" s="13">
        <v>1.4885348700000001</v>
      </c>
      <c r="I76" s="12" t="s">
        <v>118</v>
      </c>
      <c r="J76" s="13">
        <v>13.02756175</v>
      </c>
      <c r="L76" s="12" t="s">
        <v>118</v>
      </c>
      <c r="M76" s="13">
        <v>14.959684810000001</v>
      </c>
      <c r="N76" s="13">
        <v>13.49075511</v>
      </c>
      <c r="O76" s="13">
        <v>13.02756175</v>
      </c>
      <c r="Q76" s="12" t="s">
        <v>118</v>
      </c>
      <c r="R76">
        <v>17030</v>
      </c>
      <c r="T76" s="12" t="s">
        <v>118</v>
      </c>
      <c r="U76">
        <v>5459</v>
      </c>
      <c r="V76">
        <v>17549</v>
      </c>
      <c r="W76">
        <v>17030</v>
      </c>
      <c r="Y76" s="12" t="s">
        <v>118</v>
      </c>
      <c r="Z76">
        <v>13072.3</v>
      </c>
      <c r="AB76" s="12" t="s">
        <v>118</v>
      </c>
      <c r="AC76">
        <v>3882.4</v>
      </c>
      <c r="AD76">
        <v>13008.2</v>
      </c>
      <c r="AE76">
        <v>13072.3</v>
      </c>
      <c r="AG76" s="12" t="s">
        <v>118</v>
      </c>
      <c r="AH76" s="13">
        <v>11.4260435</v>
      </c>
      <c r="AJ76" s="12" t="s">
        <v>118</v>
      </c>
      <c r="AK76" s="13">
        <v>3.4316146700000001</v>
      </c>
      <c r="AL76" s="13">
        <v>11.370017470000001</v>
      </c>
      <c r="AM76" s="13">
        <v>11.4260435</v>
      </c>
    </row>
    <row r="77" spans="1:39" x14ac:dyDescent="0.3">
      <c r="A77" s="12" t="s">
        <v>121</v>
      </c>
      <c r="B77" s="13">
        <v>0.46504915000000002</v>
      </c>
      <c r="D77" s="12" t="s">
        <v>119</v>
      </c>
      <c r="E77" s="13">
        <v>1.6459356199999999</v>
      </c>
      <c r="F77" s="13">
        <v>1.0677110599999999</v>
      </c>
      <c r="G77" s="13">
        <v>0.99727511999999996</v>
      </c>
      <c r="I77" s="12" t="s">
        <v>119</v>
      </c>
      <c r="J77" s="13">
        <v>8.2137497800000006</v>
      </c>
      <c r="L77" s="12" t="s">
        <v>119</v>
      </c>
      <c r="M77" s="13">
        <v>10.95327565</v>
      </c>
      <c r="N77" s="13">
        <v>8.7336608499999997</v>
      </c>
      <c r="O77" s="13">
        <v>8.2137497800000006</v>
      </c>
      <c r="Q77" s="12" t="s">
        <v>119</v>
      </c>
      <c r="R77">
        <v>11410</v>
      </c>
      <c r="T77" s="12" t="s">
        <v>119</v>
      </c>
      <c r="U77">
        <v>18621</v>
      </c>
      <c r="V77">
        <v>12215</v>
      </c>
      <c r="W77">
        <v>11410</v>
      </c>
      <c r="Y77" s="12" t="s">
        <v>119</v>
      </c>
      <c r="Z77">
        <v>13890.9</v>
      </c>
      <c r="AB77" s="12" t="s">
        <v>119</v>
      </c>
      <c r="AC77">
        <v>17000.8</v>
      </c>
      <c r="AD77">
        <v>13986.6</v>
      </c>
      <c r="AE77">
        <v>13890.9</v>
      </c>
      <c r="AG77" s="12" t="s">
        <v>119</v>
      </c>
      <c r="AH77" s="13">
        <v>12.14153277</v>
      </c>
      <c r="AJ77" s="12" t="s">
        <v>119</v>
      </c>
      <c r="AK77" s="13">
        <v>15.026880289999999</v>
      </c>
      <c r="AL77" s="13">
        <v>12.22524072</v>
      </c>
      <c r="AM77" s="13">
        <v>12.14153277</v>
      </c>
    </row>
    <row r="78" spans="1:39" x14ac:dyDescent="0.3">
      <c r="A78" s="12" t="s">
        <v>102</v>
      </c>
      <c r="B78" s="13">
        <v>0.59132987000000004</v>
      </c>
      <c r="D78" s="12" t="s">
        <v>102</v>
      </c>
      <c r="E78" s="13">
        <v>0.32829812000000003</v>
      </c>
      <c r="F78" s="13">
        <v>0.53250302999999999</v>
      </c>
      <c r="G78" s="13">
        <v>0.59132987000000004</v>
      </c>
      <c r="I78" s="12" t="s">
        <v>102</v>
      </c>
      <c r="J78" s="13">
        <v>7.15196758</v>
      </c>
      <c r="L78" s="12" t="s">
        <v>102</v>
      </c>
      <c r="M78" s="13">
        <v>3.3079299099999999</v>
      </c>
      <c r="N78" s="13">
        <v>7.0945978399999996</v>
      </c>
      <c r="O78" s="13">
        <v>7.15196758</v>
      </c>
      <c r="Q78" s="12" t="s">
        <v>102</v>
      </c>
      <c r="R78">
        <v>6765</v>
      </c>
      <c r="T78" s="12" t="s">
        <v>102</v>
      </c>
      <c r="U78">
        <v>3714</v>
      </c>
      <c r="V78">
        <v>6092</v>
      </c>
      <c r="W78">
        <v>6765</v>
      </c>
      <c r="Y78" s="12" t="s">
        <v>102</v>
      </c>
      <c r="Z78">
        <v>9459.2999999999993</v>
      </c>
      <c r="AB78" s="12" t="s">
        <v>102</v>
      </c>
      <c r="AC78">
        <v>11228.3</v>
      </c>
      <c r="AD78">
        <v>8587.2000000000007</v>
      </c>
      <c r="AE78">
        <v>9459.2999999999993</v>
      </c>
      <c r="AG78" s="12" t="s">
        <v>102</v>
      </c>
      <c r="AH78" s="13">
        <v>8.2680726300000007</v>
      </c>
      <c r="AJ78" s="12" t="s">
        <v>102</v>
      </c>
      <c r="AK78" s="13">
        <v>9.9245789599999998</v>
      </c>
      <c r="AL78" s="13">
        <v>7.5057535399999997</v>
      </c>
      <c r="AM78" s="13">
        <v>8.2680726300000007</v>
      </c>
    </row>
    <row r="79" spans="1:39" x14ac:dyDescent="0.3">
      <c r="A79" s="12" t="s">
        <v>103</v>
      </c>
      <c r="B79" s="13">
        <v>0.79810117999999997</v>
      </c>
      <c r="D79" s="12" t="s">
        <v>103</v>
      </c>
      <c r="E79" s="13">
        <v>0.69402472000000004</v>
      </c>
      <c r="F79" s="13">
        <v>0.82149775000000003</v>
      </c>
      <c r="G79" s="13">
        <v>0.79810117999999997</v>
      </c>
      <c r="I79" s="12" t="s">
        <v>103</v>
      </c>
      <c r="J79" s="13">
        <v>8.1603343200000005</v>
      </c>
      <c r="L79" s="12" t="s">
        <v>103</v>
      </c>
      <c r="M79" s="13">
        <v>5.9846635800000003</v>
      </c>
      <c r="N79" s="13">
        <v>8.4544687100000004</v>
      </c>
      <c r="O79" s="13">
        <v>8.1603343200000005</v>
      </c>
      <c r="Q79" s="12" t="s">
        <v>103</v>
      </c>
      <c r="R79">
        <v>9131</v>
      </c>
      <c r="T79" s="12" t="s">
        <v>103</v>
      </c>
      <c r="U79">
        <v>7852</v>
      </c>
      <c r="V79">
        <v>9399</v>
      </c>
      <c r="W79">
        <v>9131</v>
      </c>
      <c r="Y79" s="12" t="s">
        <v>103</v>
      </c>
      <c r="Z79">
        <v>11189.4</v>
      </c>
      <c r="AB79" s="12" t="s">
        <v>103</v>
      </c>
      <c r="AC79">
        <v>13120.1</v>
      </c>
      <c r="AD79">
        <v>11116.7</v>
      </c>
      <c r="AE79">
        <v>11189.4</v>
      </c>
      <c r="AG79" s="12" t="s">
        <v>103</v>
      </c>
      <c r="AH79" s="13">
        <v>9.7802509999999998</v>
      </c>
      <c r="AJ79" s="12" t="s">
        <v>103</v>
      </c>
      <c r="AK79" s="13">
        <v>11.596720680000001</v>
      </c>
      <c r="AL79" s="13">
        <v>9.7167282299999993</v>
      </c>
      <c r="AM79" s="13">
        <v>9.7802509999999998</v>
      </c>
    </row>
    <row r="80" spans="1:39" x14ac:dyDescent="0.3">
      <c r="A80" s="12" t="s">
        <v>117</v>
      </c>
      <c r="B80" s="13">
        <v>0.88537233000000004</v>
      </c>
      <c r="D80" s="12" t="s">
        <v>104</v>
      </c>
      <c r="E80" s="13">
        <v>0.85066790999999997</v>
      </c>
      <c r="F80" s="13">
        <v>0.99511985999999997</v>
      </c>
      <c r="G80" s="13">
        <v>0.97566640000000004</v>
      </c>
      <c r="I80" s="12" t="s">
        <v>104</v>
      </c>
      <c r="J80" s="13">
        <v>8.5195402300000005</v>
      </c>
      <c r="L80" s="12" t="s">
        <v>104</v>
      </c>
      <c r="M80" s="13">
        <v>5.9591145900000004</v>
      </c>
      <c r="N80" s="13">
        <v>8.8195745199999998</v>
      </c>
      <c r="O80" s="13">
        <v>8.5195402300000005</v>
      </c>
      <c r="Q80" s="12" t="s">
        <v>104</v>
      </c>
      <c r="R80">
        <v>11162</v>
      </c>
      <c r="T80" s="12" t="s">
        <v>104</v>
      </c>
      <c r="U80">
        <v>9624</v>
      </c>
      <c r="V80">
        <v>11385</v>
      </c>
      <c r="W80">
        <v>11162</v>
      </c>
      <c r="Y80" s="12" t="s">
        <v>104</v>
      </c>
      <c r="Z80">
        <v>13102.1</v>
      </c>
      <c r="AB80" s="12" t="s">
        <v>104</v>
      </c>
      <c r="AC80">
        <v>16150.3</v>
      </c>
      <c r="AD80">
        <v>12908.7</v>
      </c>
      <c r="AE80">
        <v>13102.1</v>
      </c>
      <c r="AG80" s="12" t="s">
        <v>104</v>
      </c>
      <c r="AH80" s="13">
        <v>11.45210155</v>
      </c>
      <c r="AJ80" s="12" t="s">
        <v>104</v>
      </c>
      <c r="AK80" s="13">
        <v>14.27507224</v>
      </c>
      <c r="AL80" s="13">
        <v>11.283082370000001</v>
      </c>
      <c r="AM80" s="13">
        <v>11.45210155</v>
      </c>
    </row>
    <row r="81" spans="1:39" x14ac:dyDescent="0.3">
      <c r="A81" s="12" t="s">
        <v>111</v>
      </c>
      <c r="B81" s="13">
        <v>0.94235838999999999</v>
      </c>
      <c r="D81" s="12" t="s">
        <v>120</v>
      </c>
      <c r="E81" s="13">
        <v>0.35438803000000002</v>
      </c>
      <c r="F81" s="13">
        <v>0.53307002000000003</v>
      </c>
      <c r="G81" s="13">
        <v>0.32282487999999998</v>
      </c>
      <c r="I81" s="12" t="s">
        <v>120</v>
      </c>
      <c r="J81" s="13">
        <v>2.6544285699999999</v>
      </c>
      <c r="L81" s="12" t="s">
        <v>120</v>
      </c>
      <c r="M81" s="13">
        <v>4.4703115100000002</v>
      </c>
      <c r="N81" s="13">
        <v>4.36554529</v>
      </c>
      <c r="O81" s="13">
        <v>2.6544285699999999</v>
      </c>
      <c r="Q81" s="12" t="s">
        <v>120</v>
      </c>
      <c r="R81">
        <v>3693</v>
      </c>
      <c r="T81" s="12" t="s">
        <v>120</v>
      </c>
      <c r="U81">
        <v>615</v>
      </c>
      <c r="V81">
        <v>6099</v>
      </c>
      <c r="W81">
        <v>3693</v>
      </c>
      <c r="Y81" s="12" t="s">
        <v>120</v>
      </c>
      <c r="Z81">
        <v>13914</v>
      </c>
      <c r="AB81" s="12" t="s">
        <v>120</v>
      </c>
      <c r="AC81">
        <v>4185</v>
      </c>
      <c r="AD81">
        <v>13970.2</v>
      </c>
      <c r="AE81">
        <v>13914</v>
      </c>
      <c r="AG81" s="12" t="s">
        <v>120</v>
      </c>
      <c r="AH81" s="13">
        <v>12.1617467</v>
      </c>
      <c r="AJ81" s="12" t="s">
        <v>120</v>
      </c>
      <c r="AK81" s="13">
        <v>3.6990823399999999</v>
      </c>
      <c r="AL81" s="13">
        <v>12.210846220000001</v>
      </c>
      <c r="AM81" s="13">
        <v>12.1617467</v>
      </c>
    </row>
    <row r="82" spans="1:39" x14ac:dyDescent="0.3">
      <c r="A82" s="12" t="s">
        <v>104</v>
      </c>
      <c r="B82" s="13">
        <v>0.97566640000000004</v>
      </c>
      <c r="D82" s="12" t="s">
        <v>121</v>
      </c>
      <c r="E82" s="13">
        <v>0.39201735999999998</v>
      </c>
      <c r="F82" s="13">
        <v>0.38117593</v>
      </c>
      <c r="G82" s="13">
        <v>0.46504915000000002</v>
      </c>
      <c r="I82" s="12" t="s">
        <v>121</v>
      </c>
      <c r="J82" s="13">
        <v>15.325306579999999</v>
      </c>
      <c r="L82" s="12" t="s">
        <v>121</v>
      </c>
      <c r="M82" s="13">
        <v>3.3865293200000002</v>
      </c>
      <c r="N82" s="13">
        <v>3.9228835499999999</v>
      </c>
      <c r="O82" s="13">
        <v>15.325306579999999</v>
      </c>
      <c r="Q82" s="12" t="s">
        <v>121</v>
      </c>
      <c r="R82">
        <v>5321</v>
      </c>
      <c r="T82" s="12" t="s">
        <v>121</v>
      </c>
      <c r="U82">
        <v>4435</v>
      </c>
      <c r="V82">
        <v>4361</v>
      </c>
      <c r="W82">
        <v>5321</v>
      </c>
      <c r="Y82" s="12" t="s">
        <v>121</v>
      </c>
      <c r="Z82">
        <v>3471.7</v>
      </c>
      <c r="AB82" s="12" t="s">
        <v>121</v>
      </c>
      <c r="AC82">
        <v>13096.4</v>
      </c>
      <c r="AD82">
        <v>11116.7</v>
      </c>
      <c r="AE82">
        <v>3471.7</v>
      </c>
      <c r="AG82" s="12" t="s">
        <v>121</v>
      </c>
      <c r="AH82" s="13">
        <v>3.03451775</v>
      </c>
      <c r="AJ82" s="12" t="s">
        <v>121</v>
      </c>
      <c r="AK82" s="13">
        <v>11.575785359999999</v>
      </c>
      <c r="AL82" s="13">
        <v>9.7167282299999993</v>
      </c>
      <c r="AM82" s="13">
        <v>3.03451775</v>
      </c>
    </row>
    <row r="83" spans="1:39" x14ac:dyDescent="0.3">
      <c r="A83" s="12" t="s">
        <v>119</v>
      </c>
      <c r="B83" s="13">
        <v>0.99727511999999996</v>
      </c>
      <c r="D83" s="12" t="s">
        <v>111</v>
      </c>
      <c r="E83" s="13">
        <v>0.53168484999999999</v>
      </c>
      <c r="F83" s="13">
        <v>0.30129939</v>
      </c>
      <c r="G83" s="13">
        <v>0.94235838999999999</v>
      </c>
      <c r="I83" s="12" t="s">
        <v>111</v>
      </c>
      <c r="J83" s="13">
        <v>6.4265469499999996</v>
      </c>
      <c r="L83" s="12" t="s">
        <v>111</v>
      </c>
      <c r="M83" s="13">
        <v>3.72456852</v>
      </c>
      <c r="N83" s="13">
        <v>4.6679623799999996</v>
      </c>
      <c r="O83" s="13">
        <v>6.4265469499999996</v>
      </c>
      <c r="Q83" s="12" t="s">
        <v>111</v>
      </c>
      <c r="R83">
        <v>5061</v>
      </c>
      <c r="T83" s="12" t="s">
        <v>111</v>
      </c>
      <c r="U83">
        <v>6015</v>
      </c>
      <c r="V83">
        <v>3447</v>
      </c>
      <c r="W83">
        <v>5061</v>
      </c>
      <c r="Y83" s="12" t="s">
        <v>111</v>
      </c>
      <c r="Z83">
        <v>6875</v>
      </c>
      <c r="AB83" s="12" t="s">
        <v>111</v>
      </c>
      <c r="AC83">
        <v>16150.3</v>
      </c>
      <c r="AD83">
        <v>7284.6</v>
      </c>
      <c r="AE83">
        <v>6875</v>
      </c>
      <c r="AG83" s="12" t="s">
        <v>111</v>
      </c>
      <c r="AH83" s="13">
        <v>6.8832981699999998</v>
      </c>
      <c r="AJ83" s="12" t="s">
        <v>111</v>
      </c>
      <c r="AK83" s="13">
        <v>14.27507224</v>
      </c>
      <c r="AL83" s="13">
        <v>6.2546232899999996</v>
      </c>
      <c r="AM83" s="13">
        <v>6.8832981699999998</v>
      </c>
    </row>
    <row r="84" spans="1:39" x14ac:dyDescent="0.3">
      <c r="A84" s="12" t="s">
        <v>118</v>
      </c>
      <c r="B84" s="13">
        <v>1.4885348700000001</v>
      </c>
      <c r="D84" s="12" t="s">
        <v>112</v>
      </c>
      <c r="E84" s="13">
        <v>0.51786299999999996</v>
      </c>
      <c r="F84" s="13">
        <v>0.15140795000000001</v>
      </c>
      <c r="G84" s="13">
        <v>0.23006673</v>
      </c>
      <c r="I84" s="12" t="s">
        <v>112</v>
      </c>
      <c r="J84" s="13">
        <v>3.3503788999999999</v>
      </c>
      <c r="L84" s="12" t="s">
        <v>112</v>
      </c>
      <c r="M84" s="13">
        <v>3.5559295099999999</v>
      </c>
      <c r="N84" s="13">
        <v>2.3440395399999998</v>
      </c>
      <c r="O84" s="13">
        <v>3.3503788999999999</v>
      </c>
      <c r="Q84" s="12" t="s">
        <v>112</v>
      </c>
      <c r="R84">
        <v>2632</v>
      </c>
      <c r="T84" s="12" t="s">
        <v>112</v>
      </c>
      <c r="U84">
        <v>5859</v>
      </c>
      <c r="V84">
        <v>1732</v>
      </c>
      <c r="W84">
        <v>2632</v>
      </c>
      <c r="Y84" s="12" t="s">
        <v>112</v>
      </c>
      <c r="Z84">
        <v>7856.3</v>
      </c>
      <c r="AB84" s="12" t="s">
        <v>112</v>
      </c>
      <c r="AC84">
        <v>16476.400000000001</v>
      </c>
      <c r="AD84">
        <v>7389.9</v>
      </c>
      <c r="AE84">
        <v>7856.3</v>
      </c>
      <c r="AG84" s="12" t="s">
        <v>112</v>
      </c>
      <c r="AH84" s="13">
        <v>6.8668869499999996</v>
      </c>
      <c r="AJ84" s="12" t="s">
        <v>112</v>
      </c>
      <c r="AK84" s="13">
        <v>14.563365129999999</v>
      </c>
      <c r="AL84" s="13">
        <v>6.4592744099999999</v>
      </c>
      <c r="AM84" s="13">
        <v>6.8668869499999996</v>
      </c>
    </row>
    <row r="85" spans="1:39" x14ac:dyDescent="0.3">
      <c r="A85" s="11" t="s">
        <v>54</v>
      </c>
      <c r="B85" s="13">
        <v>20.226067999999998</v>
      </c>
      <c r="D85" s="11" t="s">
        <v>54</v>
      </c>
      <c r="E85" s="13">
        <v>20.367388619999996</v>
      </c>
      <c r="F85" s="13">
        <v>20.61140546</v>
      </c>
      <c r="G85" s="13">
        <v>20.226067999999998</v>
      </c>
      <c r="I85" s="11" t="s">
        <v>54</v>
      </c>
      <c r="J85" s="13">
        <v>248.39738320999993</v>
      </c>
      <c r="L85" s="11" t="s">
        <v>54</v>
      </c>
      <c r="M85" s="13">
        <v>197.26584083999998</v>
      </c>
      <c r="N85" s="13">
        <v>227.96661699000006</v>
      </c>
      <c r="O85" s="13">
        <v>248.39738320999993</v>
      </c>
      <c r="Q85" s="11" t="s">
        <v>54</v>
      </c>
      <c r="R85">
        <v>187108</v>
      </c>
      <c r="T85" s="11" t="s">
        <v>54</v>
      </c>
      <c r="U85">
        <v>175262</v>
      </c>
      <c r="V85">
        <v>204149</v>
      </c>
      <c r="W85">
        <v>187108</v>
      </c>
      <c r="Y85" s="11" t="s">
        <v>54</v>
      </c>
      <c r="Z85">
        <v>238553.49999999997</v>
      </c>
      <c r="AB85" s="11" t="s">
        <v>54</v>
      </c>
      <c r="AC85">
        <v>286607.69999999995</v>
      </c>
      <c r="AD85">
        <v>252075.00000000006</v>
      </c>
      <c r="AE85">
        <v>238553.49999999997</v>
      </c>
      <c r="AG85" s="11" t="s">
        <v>54</v>
      </c>
      <c r="AH85" s="13">
        <v>251.73390436000005</v>
      </c>
      <c r="AJ85" s="11" t="s">
        <v>54</v>
      </c>
      <c r="AK85" s="13">
        <v>305.38618111</v>
      </c>
      <c r="AL85" s="13">
        <v>259.60801294999999</v>
      </c>
      <c r="AM85" s="13">
        <v>251.73390436000005</v>
      </c>
    </row>
    <row r="88" spans="1:39" x14ac:dyDescent="0.3">
      <c r="D88" s="10" t="s">
        <v>53</v>
      </c>
      <c r="L88" s="10" t="s">
        <v>53</v>
      </c>
      <c r="T88" s="10" t="s">
        <v>53</v>
      </c>
      <c r="AB88" s="10" t="s">
        <v>53</v>
      </c>
      <c r="AJ88" s="10" t="s">
        <v>53</v>
      </c>
    </row>
    <row r="89" spans="1:39" x14ac:dyDescent="0.3">
      <c r="D89" s="11" t="s">
        <v>12</v>
      </c>
      <c r="L89" s="11" t="s">
        <v>12</v>
      </c>
      <c r="T89" s="11" t="s">
        <v>12</v>
      </c>
      <c r="AB89" s="11" t="s">
        <v>12</v>
      </c>
      <c r="AJ89" s="11" t="s">
        <v>12</v>
      </c>
    </row>
    <row r="90" spans="1:39" x14ac:dyDescent="0.3">
      <c r="D90" s="11" t="s">
        <v>10</v>
      </c>
      <c r="E90">
        <f>COUNTA(D89:D92)</f>
        <v>4</v>
      </c>
      <c r="L90" s="11" t="s">
        <v>10</v>
      </c>
      <c r="M90">
        <f>COUNTA(L89:L92)</f>
        <v>4</v>
      </c>
      <c r="T90" s="11" t="s">
        <v>10</v>
      </c>
      <c r="U90">
        <f>COUNTA(T89:T92)</f>
        <v>4</v>
      </c>
      <c r="AB90" s="11" t="s">
        <v>10</v>
      </c>
      <c r="AC90">
        <f>COUNTA(AB89:AB92)</f>
        <v>4</v>
      </c>
      <c r="AJ90" s="11" t="s">
        <v>10</v>
      </c>
      <c r="AK90">
        <f>COUNTA(AJ89:AJ92)</f>
        <v>4</v>
      </c>
    </row>
    <row r="91" spans="1:39" x14ac:dyDescent="0.3">
      <c r="D91" s="11" t="s">
        <v>11</v>
      </c>
      <c r="E91" t="str">
        <f>IF(E90=2,D89,"P25-54")</f>
        <v>P25-54</v>
      </c>
      <c r="F91">
        <f>ROW()</f>
        <v>91</v>
      </c>
      <c r="L91" s="11" t="s">
        <v>11</v>
      </c>
      <c r="M91" t="str">
        <f>IF(M90=2,L89,"P25-54")</f>
        <v>P25-54</v>
      </c>
      <c r="N91">
        <f>ROW()</f>
        <v>91</v>
      </c>
      <c r="T91" s="11" t="s">
        <v>11</v>
      </c>
      <c r="U91" t="str">
        <f>IF(U90=2,T89,"P25-54")</f>
        <v>P25-54</v>
      </c>
      <c r="V91">
        <f>ROW()</f>
        <v>91</v>
      </c>
      <c r="AB91" s="11" t="s">
        <v>11</v>
      </c>
      <c r="AC91" t="str">
        <f>IF(AC90=2,AB89,"P25-54")</f>
        <v>P25-54</v>
      </c>
      <c r="AD91">
        <f>ROW()</f>
        <v>91</v>
      </c>
      <c r="AJ91" s="11" t="s">
        <v>11</v>
      </c>
      <c r="AK91" t="str">
        <f>IF(AK90=2,AJ89,"P25-54")</f>
        <v>P25-54</v>
      </c>
      <c r="AL91">
        <f>ROW()</f>
        <v>91</v>
      </c>
    </row>
    <row r="92" spans="1:39" x14ac:dyDescent="0.3">
      <c r="D92" s="11" t="s">
        <v>54</v>
      </c>
      <c r="L92" s="11" t="s">
        <v>54</v>
      </c>
      <c r="T92" s="11" t="s">
        <v>54</v>
      </c>
      <c r="AB92" s="11" t="s">
        <v>54</v>
      </c>
      <c r="AJ92" s="11" t="s">
        <v>54</v>
      </c>
    </row>
  </sheetData>
  <sortState xmlns:xlrd2="http://schemas.microsoft.com/office/spreadsheetml/2017/richdata2" ref="BP3:BQ12">
    <sortCondition descending="1" ref="BQ3"/>
  </sortState>
  <mergeCells count="31">
    <mergeCell ref="AU2:AY2"/>
    <mergeCell ref="V1:AJ1"/>
    <mergeCell ref="AK1:AY1"/>
    <mergeCell ref="G2:K2"/>
    <mergeCell ref="L2:P2"/>
    <mergeCell ref="Q2:U2"/>
    <mergeCell ref="V2:Z2"/>
    <mergeCell ref="AA2:AE2"/>
    <mergeCell ref="AF2:AJ2"/>
    <mergeCell ref="AK2:AO2"/>
    <mergeCell ref="AP2:AT2"/>
    <mergeCell ref="G1:U1"/>
    <mergeCell ref="A1:A3"/>
    <mergeCell ref="B1:B3"/>
    <mergeCell ref="C1:C3"/>
    <mergeCell ref="D1:D3"/>
    <mergeCell ref="E1:E3"/>
    <mergeCell ref="CN1:CO1"/>
    <mergeCell ref="CQ1:CR1"/>
    <mergeCell ref="CT1:CU1"/>
    <mergeCell ref="BF7:BG7"/>
    <mergeCell ref="BY1:BZ1"/>
    <mergeCell ref="CB1:CC1"/>
    <mergeCell ref="CE1:CF1"/>
    <mergeCell ref="CH1:CI1"/>
    <mergeCell ref="CK1:CL1"/>
    <mergeCell ref="BJ1:BK1"/>
    <mergeCell ref="BM1:BN1"/>
    <mergeCell ref="BP1:BQ1"/>
    <mergeCell ref="BS1:BT1"/>
    <mergeCell ref="BV1:BW1"/>
  </mergeCells>
  <pageMargins left="0.7" right="0.7" top="0.75" bottom="0.75" header="0.3" footer="0.3"/>
  <tableParts count="5">
    <tablePart r:id="rId21"/>
    <tablePart r:id="rId22"/>
    <tablePart r:id="rId23"/>
    <tablePart r:id="rId24"/>
    <tablePart r:id="rId2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EEE68-BCC3-4E7D-96C7-36AF74AF64B8}">
  <sheetPr codeName="Sheet5"/>
  <dimension ref="A1:CU64"/>
  <sheetViews>
    <sheetView workbookViewId="0">
      <selection activeCell="CG35" sqref="CG35"/>
    </sheetView>
  </sheetViews>
  <sheetFormatPr defaultRowHeight="14.4" x14ac:dyDescent="0.3"/>
  <cols>
    <col min="1" max="1" width="18.33203125" bestFit="1" customWidth="1"/>
    <col min="2" max="2" width="6.5546875" bestFit="1" customWidth="1"/>
    <col min="4" max="4" width="18.33203125" bestFit="1" customWidth="1"/>
    <col min="5" max="5" width="8.88671875" bestFit="1" customWidth="1"/>
    <col min="6" max="6" width="10.88671875" bestFit="1" customWidth="1"/>
    <col min="7" max="7" width="7.6640625" bestFit="1" customWidth="1"/>
    <col min="9" max="9" width="18.33203125" bestFit="1" customWidth="1"/>
    <col min="10" max="10" width="6.5546875" bestFit="1" customWidth="1"/>
    <col min="12" max="12" width="18.33203125" bestFit="1" customWidth="1"/>
    <col min="13" max="13" width="8.88671875" bestFit="1" customWidth="1"/>
    <col min="14" max="14" width="10.88671875" bestFit="1" customWidth="1"/>
    <col min="15" max="15" width="7.6640625" bestFit="1" customWidth="1"/>
    <col min="17" max="17" width="18.33203125" bestFit="1" customWidth="1"/>
    <col min="18" max="18" width="7" bestFit="1" customWidth="1"/>
    <col min="20" max="20" width="18.33203125" bestFit="1" customWidth="1"/>
    <col min="21" max="21" width="8.88671875" bestFit="1" customWidth="1"/>
    <col min="22" max="22" width="10.88671875" bestFit="1" customWidth="1"/>
    <col min="23" max="23" width="7.6640625" bestFit="1" customWidth="1"/>
    <col min="25" max="25" width="18.33203125" bestFit="1" customWidth="1"/>
    <col min="26" max="26" width="9" bestFit="1" customWidth="1"/>
    <col min="28" max="28" width="13.109375" bestFit="1" customWidth="1"/>
    <col min="29" max="29" width="9" bestFit="1" customWidth="1"/>
    <col min="30" max="30" width="10.88671875" bestFit="1" customWidth="1"/>
    <col min="31" max="31" width="9" bestFit="1" customWidth="1"/>
    <col min="33" max="33" width="18.33203125" bestFit="1" customWidth="1"/>
    <col min="34" max="34" width="6.5546875" bestFit="1" customWidth="1"/>
    <col min="36" max="36" width="13.109375" bestFit="1" customWidth="1"/>
    <col min="37" max="37" width="8.88671875" bestFit="1" customWidth="1"/>
    <col min="38" max="38" width="10.88671875" bestFit="1" customWidth="1"/>
    <col min="39" max="39" width="7.6640625" bestFit="1" customWidth="1"/>
    <col min="57" max="57" width="16.109375" customWidth="1"/>
    <col min="58" max="59" width="22.33203125" bestFit="1" customWidth="1"/>
    <col min="60" max="60" width="11" bestFit="1" customWidth="1"/>
    <col min="61" max="61" width="15" customWidth="1"/>
    <col min="62" max="62" width="19.44140625" customWidth="1"/>
    <col min="63" max="63" width="12" customWidth="1"/>
    <col min="64" max="64" width="13.88671875" customWidth="1"/>
    <col min="65" max="65" width="14" customWidth="1"/>
    <col min="66" max="66" width="11" bestFit="1" customWidth="1"/>
    <col min="67" max="67" width="16.5546875" customWidth="1"/>
    <col min="68" max="68" width="14.6640625" customWidth="1"/>
    <col min="69" max="69" width="8.44140625" bestFit="1" customWidth="1"/>
    <col min="70" max="70" width="14.33203125" customWidth="1"/>
    <col min="71" max="71" width="18.33203125" bestFit="1" customWidth="1"/>
    <col min="72" max="72" width="11" bestFit="1" customWidth="1"/>
    <col min="73" max="73" width="14.5546875" bestFit="1" customWidth="1"/>
    <col min="74" max="74" width="11" bestFit="1" customWidth="1"/>
    <col min="75" max="75" width="8.44140625" bestFit="1" customWidth="1"/>
    <col min="76" max="76" width="16.33203125" customWidth="1"/>
    <col min="77" max="77" width="18.33203125" bestFit="1" customWidth="1"/>
    <col min="78" max="78" width="9" bestFit="1" customWidth="1"/>
    <col min="79" max="79" width="14.5546875" bestFit="1" customWidth="1"/>
    <col min="80" max="80" width="11" bestFit="1" customWidth="1"/>
    <col min="81" max="81" width="8.44140625" bestFit="1" customWidth="1"/>
    <col min="82" max="82" width="11" bestFit="1" customWidth="1"/>
    <col min="83" max="83" width="18.33203125" bestFit="1" customWidth="1"/>
    <col min="84" max="84" width="11" bestFit="1" customWidth="1"/>
    <col min="85" max="85" width="14.5546875" bestFit="1" customWidth="1"/>
    <col min="86" max="86" width="10" bestFit="1" customWidth="1"/>
    <col min="87" max="87" width="8.44140625" bestFit="1" customWidth="1"/>
    <col min="88" max="88" width="10" bestFit="1" customWidth="1"/>
    <col min="89" max="89" width="18.33203125" bestFit="1" customWidth="1"/>
    <col min="90" max="90" width="11" bestFit="1" customWidth="1"/>
    <col min="91" max="91" width="14.5546875" bestFit="1" customWidth="1"/>
    <col min="92" max="92" width="10" bestFit="1" customWidth="1"/>
    <col min="93" max="93" width="8.44140625" bestFit="1" customWidth="1"/>
    <col min="94" max="94" width="11" bestFit="1" customWidth="1"/>
    <col min="95" max="95" width="18.33203125" bestFit="1" customWidth="1"/>
    <col min="96" max="96" width="11" bestFit="1" customWidth="1"/>
    <col min="97" max="97" width="14.5546875" bestFit="1" customWidth="1"/>
    <col min="98" max="98" width="11" bestFit="1" customWidth="1"/>
    <col min="99" max="99" width="8.44140625" bestFit="1" customWidth="1"/>
    <col min="101" max="101" width="18.33203125" bestFit="1" customWidth="1"/>
    <col min="103" max="103" width="18.33203125" bestFit="1" customWidth="1"/>
    <col min="105" max="105" width="18.33203125" bestFit="1" customWidth="1"/>
    <col min="107" max="107" width="18.33203125" bestFit="1" customWidth="1"/>
    <col min="110" max="110" width="18.33203125" bestFit="1" customWidth="1"/>
  </cols>
  <sheetData>
    <row r="1" spans="1:99" ht="15" thickBot="1" x14ac:dyDescent="0.35">
      <c r="A1" s="53" t="s">
        <v>0</v>
      </c>
      <c r="B1" s="53" t="s">
        <v>1</v>
      </c>
      <c r="C1" s="54" t="s">
        <v>2</v>
      </c>
      <c r="D1" s="54" t="s">
        <v>3</v>
      </c>
      <c r="E1" s="54" t="s">
        <v>4</v>
      </c>
      <c r="F1" s="2" t="s">
        <v>5</v>
      </c>
      <c r="G1" s="52" t="s">
        <v>6</v>
      </c>
      <c r="H1" s="52"/>
      <c r="I1" s="52"/>
      <c r="J1" s="52"/>
      <c r="K1" s="52"/>
      <c r="L1" s="52"/>
      <c r="M1" s="52"/>
      <c r="N1" s="52"/>
      <c r="O1" s="52"/>
      <c r="P1" s="52"/>
      <c r="Q1" s="52"/>
      <c r="R1" s="52"/>
      <c r="S1" s="52"/>
      <c r="T1" s="52"/>
      <c r="U1" s="52"/>
      <c r="V1" s="52" t="s">
        <v>7</v>
      </c>
      <c r="W1" s="52"/>
      <c r="X1" s="52"/>
      <c r="Y1" s="52"/>
      <c r="Z1" s="52"/>
      <c r="AA1" s="52"/>
      <c r="AB1" s="52"/>
      <c r="AC1" s="52"/>
      <c r="AD1" s="52"/>
      <c r="AE1" s="52"/>
      <c r="AF1" s="52"/>
      <c r="AG1" s="52"/>
      <c r="AH1" s="52"/>
      <c r="AI1" s="52"/>
      <c r="AJ1" s="52"/>
      <c r="AK1" s="52" t="s">
        <v>8</v>
      </c>
      <c r="AL1" s="52"/>
      <c r="AM1" s="52"/>
      <c r="AN1" s="52"/>
      <c r="AO1" s="52"/>
      <c r="AP1" s="52"/>
      <c r="AQ1" s="52"/>
      <c r="AR1" s="52"/>
      <c r="AS1" s="52"/>
      <c r="AT1" s="52"/>
      <c r="AU1" s="52"/>
      <c r="AV1" s="52"/>
      <c r="AW1" s="52"/>
      <c r="AX1" s="52"/>
      <c r="AY1" s="52"/>
      <c r="BE1" s="37" t="s">
        <v>69</v>
      </c>
      <c r="BF1" s="38" t="str">
        <f>_xlfn.CONCAT(BG4,BG2,BH1,BG3)</f>
        <v>='Midday Programs'!E63</v>
      </c>
      <c r="BG1" t="s">
        <v>88</v>
      </c>
      <c r="BH1" s="21" t="s">
        <v>74</v>
      </c>
      <c r="BJ1" s="51" t="s">
        <v>80</v>
      </c>
      <c r="BK1" s="51"/>
      <c r="BM1" s="51" t="s">
        <v>81</v>
      </c>
      <c r="BN1" s="51"/>
      <c r="BP1" s="51" t="s">
        <v>82</v>
      </c>
      <c r="BQ1" s="51"/>
      <c r="BS1" s="51" t="s">
        <v>83</v>
      </c>
      <c r="BT1" s="51"/>
      <c r="BV1" s="51" t="s">
        <v>83</v>
      </c>
      <c r="BW1" s="51"/>
      <c r="BY1" s="51" t="s">
        <v>55</v>
      </c>
      <c r="BZ1" s="51"/>
      <c r="CB1" s="51" t="s">
        <v>55</v>
      </c>
      <c r="CC1" s="51"/>
      <c r="CE1" s="51" t="s">
        <v>84</v>
      </c>
      <c r="CF1" s="51"/>
      <c r="CH1" s="51" t="s">
        <v>84</v>
      </c>
      <c r="CI1" s="51"/>
      <c r="CK1" s="51" t="s">
        <v>85</v>
      </c>
      <c r="CL1" s="51"/>
      <c r="CN1" s="51" t="s">
        <v>85</v>
      </c>
      <c r="CO1" s="51"/>
      <c r="CQ1" s="51" t="s">
        <v>44</v>
      </c>
      <c r="CR1" s="51"/>
      <c r="CT1" s="51" t="s">
        <v>44</v>
      </c>
      <c r="CU1" s="51"/>
    </row>
    <row r="2" spans="1:99" ht="15" thickBot="1" x14ac:dyDescent="0.35">
      <c r="A2" s="53" t="s">
        <v>0</v>
      </c>
      <c r="B2" s="53" t="s">
        <v>1</v>
      </c>
      <c r="C2" s="54"/>
      <c r="D2" s="54"/>
      <c r="E2" s="54"/>
      <c r="F2" s="1" t="s">
        <v>9</v>
      </c>
      <c r="G2" s="52" t="s">
        <v>10</v>
      </c>
      <c r="H2" s="52"/>
      <c r="I2" s="52"/>
      <c r="J2" s="52"/>
      <c r="K2" s="52"/>
      <c r="L2" s="52" t="s">
        <v>11</v>
      </c>
      <c r="M2" s="52"/>
      <c r="N2" s="52"/>
      <c r="O2" s="52"/>
      <c r="P2" s="52"/>
      <c r="Q2" s="52" t="s">
        <v>12</v>
      </c>
      <c r="R2" s="52"/>
      <c r="S2" s="52"/>
      <c r="T2" s="52"/>
      <c r="U2" s="52"/>
      <c r="V2" s="52" t="s">
        <v>10</v>
      </c>
      <c r="W2" s="52"/>
      <c r="X2" s="52"/>
      <c r="Y2" s="52"/>
      <c r="Z2" s="52"/>
      <c r="AA2" s="52" t="s">
        <v>11</v>
      </c>
      <c r="AB2" s="52"/>
      <c r="AC2" s="52"/>
      <c r="AD2" s="52"/>
      <c r="AE2" s="52"/>
      <c r="AF2" s="52" t="s">
        <v>12</v>
      </c>
      <c r="AG2" s="52"/>
      <c r="AH2" s="52"/>
      <c r="AI2" s="52"/>
      <c r="AJ2" s="52"/>
      <c r="AK2" s="52" t="s">
        <v>10</v>
      </c>
      <c r="AL2" s="52"/>
      <c r="AM2" s="52"/>
      <c r="AN2" s="52"/>
      <c r="AO2" s="52"/>
      <c r="AP2" s="52" t="s">
        <v>11</v>
      </c>
      <c r="AQ2" s="52"/>
      <c r="AR2" s="52"/>
      <c r="AS2" s="52"/>
      <c r="AT2" s="52"/>
      <c r="AU2" s="52" t="s">
        <v>12</v>
      </c>
      <c r="AV2" s="52"/>
      <c r="AW2" s="52"/>
      <c r="AX2" s="52"/>
      <c r="AY2" s="52"/>
      <c r="BE2" s="37" t="s">
        <v>70</v>
      </c>
      <c r="BF2" s="39" t="str">
        <f>_xlfn.CONCAT(BG4,BG2,BH2,BG3)</f>
        <v>='Midday Programs'!M63</v>
      </c>
      <c r="BG2" t="str">
        <f>'Ratings Dashboard'!A2</f>
        <v>Midday Programs</v>
      </c>
      <c r="BH2" s="21" t="s">
        <v>75</v>
      </c>
      <c r="BJ2" s="22" t="s">
        <v>41</v>
      </c>
      <c r="BK2" s="22" t="s">
        <v>60</v>
      </c>
      <c r="BM2" s="22" t="s">
        <v>41</v>
      </c>
      <c r="BN2" s="22" t="s">
        <v>60</v>
      </c>
      <c r="BP2" s="22" t="s">
        <v>41</v>
      </c>
      <c r="BQ2" s="22" t="s">
        <v>60</v>
      </c>
      <c r="BS2" s="22" t="s">
        <v>41</v>
      </c>
      <c r="BT2" s="22" t="s">
        <v>49</v>
      </c>
      <c r="BV2" s="22" t="s">
        <v>41</v>
      </c>
      <c r="BW2" s="22" t="s">
        <v>50</v>
      </c>
      <c r="BY2" s="22" t="s">
        <v>41</v>
      </c>
      <c r="BZ2" s="22" t="s">
        <v>49</v>
      </c>
      <c r="CB2" s="22" t="s">
        <v>41</v>
      </c>
      <c r="CC2" s="22" t="s">
        <v>50</v>
      </c>
      <c r="CE2" s="22" t="s">
        <v>41</v>
      </c>
      <c r="CF2" s="22" t="s">
        <v>49</v>
      </c>
      <c r="CH2" s="22" t="s">
        <v>41</v>
      </c>
      <c r="CI2" s="22" t="s">
        <v>50</v>
      </c>
      <c r="CK2" s="22" t="s">
        <v>41</v>
      </c>
      <c r="CL2" s="22" t="s">
        <v>49</v>
      </c>
      <c r="CN2" s="22" t="s">
        <v>41</v>
      </c>
      <c r="CO2" s="22" t="s">
        <v>50</v>
      </c>
      <c r="CQ2" s="22" t="s">
        <v>41</v>
      </c>
      <c r="CR2" s="22" t="s">
        <v>49</v>
      </c>
      <c r="CT2" s="22" t="s">
        <v>41</v>
      </c>
      <c r="CU2" s="22" t="s">
        <v>50</v>
      </c>
    </row>
    <row r="3" spans="1:99" ht="31.2" thickBot="1" x14ac:dyDescent="0.35">
      <c r="A3" s="53" t="s">
        <v>0</v>
      </c>
      <c r="B3" s="53" t="s">
        <v>1</v>
      </c>
      <c r="C3" s="54"/>
      <c r="D3" s="54"/>
      <c r="E3" s="54"/>
      <c r="F3" s="1" t="s">
        <v>13</v>
      </c>
      <c r="G3" s="3" t="s">
        <v>14</v>
      </c>
      <c r="H3" s="3" t="s">
        <v>15</v>
      </c>
      <c r="I3" s="3" t="s">
        <v>16</v>
      </c>
      <c r="J3" s="3" t="s">
        <v>17</v>
      </c>
      <c r="K3" s="3" t="s">
        <v>18</v>
      </c>
      <c r="L3" s="3" t="s">
        <v>14</v>
      </c>
      <c r="M3" s="3" t="s">
        <v>15</v>
      </c>
      <c r="N3" s="3" t="s">
        <v>16</v>
      </c>
      <c r="O3" s="3" t="s">
        <v>17</v>
      </c>
      <c r="P3" s="3" t="s">
        <v>18</v>
      </c>
      <c r="Q3" s="3" t="s">
        <v>14</v>
      </c>
      <c r="R3" s="3" t="s">
        <v>15</v>
      </c>
      <c r="S3" s="3" t="s">
        <v>16</v>
      </c>
      <c r="T3" s="3" t="s">
        <v>17</v>
      </c>
      <c r="U3" s="3" t="s">
        <v>18</v>
      </c>
      <c r="V3" s="3" t="s">
        <v>14</v>
      </c>
      <c r="W3" s="3" t="s">
        <v>15</v>
      </c>
      <c r="X3" s="3" t="s">
        <v>16</v>
      </c>
      <c r="Y3" s="3" t="s">
        <v>17</v>
      </c>
      <c r="Z3" s="3" t="s">
        <v>18</v>
      </c>
      <c r="AA3" s="3" t="s">
        <v>14</v>
      </c>
      <c r="AB3" s="3" t="s">
        <v>15</v>
      </c>
      <c r="AC3" s="3" t="s">
        <v>16</v>
      </c>
      <c r="AD3" s="3" t="s">
        <v>17</v>
      </c>
      <c r="AE3" s="3" t="s">
        <v>18</v>
      </c>
      <c r="AF3" s="3" t="s">
        <v>14</v>
      </c>
      <c r="AG3" s="3" t="s">
        <v>15</v>
      </c>
      <c r="AH3" s="3" t="s">
        <v>16</v>
      </c>
      <c r="AI3" s="3" t="s">
        <v>17</v>
      </c>
      <c r="AJ3" s="3" t="s">
        <v>18</v>
      </c>
      <c r="AK3" s="3" t="s">
        <v>14</v>
      </c>
      <c r="AL3" s="3" t="s">
        <v>15</v>
      </c>
      <c r="AM3" s="3" t="s">
        <v>16</v>
      </c>
      <c r="AN3" s="3" t="s">
        <v>17</v>
      </c>
      <c r="AO3" s="3" t="s">
        <v>18</v>
      </c>
      <c r="AP3" s="3" t="s">
        <v>14</v>
      </c>
      <c r="AQ3" s="3" t="s">
        <v>15</v>
      </c>
      <c r="AR3" s="3" t="s">
        <v>16</v>
      </c>
      <c r="AS3" s="3" t="s">
        <v>17</v>
      </c>
      <c r="AT3" s="3" t="s">
        <v>18</v>
      </c>
      <c r="AU3" s="3" t="s">
        <v>14</v>
      </c>
      <c r="AV3" s="3" t="s">
        <v>15</v>
      </c>
      <c r="AW3" s="3" t="s">
        <v>16</v>
      </c>
      <c r="AX3" s="3" t="s">
        <v>17</v>
      </c>
      <c r="AY3" s="3" t="s">
        <v>18</v>
      </c>
      <c r="BE3" s="37" t="s">
        <v>71</v>
      </c>
      <c r="BF3" s="38" t="str">
        <f>_xlfn.CONCAT(BG4,BG2,BH3,BG3)</f>
        <v>='Midday Programs'!U63</v>
      </c>
      <c r="BG3">
        <v>63</v>
      </c>
      <c r="BH3" s="21" t="s">
        <v>76</v>
      </c>
      <c r="BJ3" s="4" t="s">
        <v>114</v>
      </c>
      <c r="BK3" s="6">
        <v>25134</v>
      </c>
      <c r="BL3">
        <f>IF(BK3="","",BK3)</f>
        <v>25134</v>
      </c>
      <c r="BM3" s="4" t="s">
        <v>114</v>
      </c>
      <c r="BN3" s="6">
        <v>24181</v>
      </c>
      <c r="BO3">
        <f>IF(BN3="","",BN3)</f>
        <v>24181</v>
      </c>
      <c r="BP3" s="4" t="s">
        <v>114</v>
      </c>
      <c r="BQ3" s="6">
        <v>9565</v>
      </c>
      <c r="BR3">
        <f>IF(BQ3="","",BQ3)</f>
        <v>9565</v>
      </c>
      <c r="BS3" t="str" cm="1">
        <f t="array" ref="BS3:BT8">IFERROR(_xlfn._xlws.SORT(_xlfn.CHOOSECOLS(_xlfn._xlws.FILTER(LN_RTG[],LN_RTG[DEMO]=BF15,""),1,6),2,-1),"")</f>
        <v>ST1 -Program 2</v>
      </c>
      <c r="BT3">
        <v>1.7555719176451989</v>
      </c>
      <c r="BV3" t="str" cm="1">
        <f t="array" ref="BV3:BW8">IFERROR(_xlfn._xlws.SORT(_xlfn.CHOOSECOLS(_xlfn._xlws.FILTER(LN_RTG[],LN_RTG[DEMO]=BF15,""),1,7),2,-1),"")</f>
        <v>ST2 - Program 1</v>
      </c>
      <c r="BW3">
        <v>1.4851093505433384</v>
      </c>
      <c r="BY3" t="str" cm="1">
        <f t="array" ref="BY3:BZ8">IFERROR(_xlfn._xlws.SORT(_xlfn.CHOOSECOLS(_xlfn._xlws.FILTER(LN_SHARE[],LN_SHARE[DEMO]=BF15,""),1,6),2,-1),"")</f>
        <v>ST1 -Program 2</v>
      </c>
      <c r="BZ3">
        <v>1.7325998143038477</v>
      </c>
      <c r="CB3" t="str" cm="1">
        <f t="array" ref="CB3:CC8">IFERROR(_xlfn._xlws.SORT(_xlfn.CHOOSECOLS(_xlfn._xlws.FILTER(LN_SHARE[],LN_SHARE[DEMO]=BF15,""),1,7),2,-1),"")</f>
        <v>ST2 - Program 1</v>
      </c>
      <c r="CC3">
        <v>7.7043296123520433</v>
      </c>
      <c r="CE3" t="str" cm="1">
        <f t="array" ref="CE3:CF8">IFERROR(_xlfn._xlws.SORT(_xlfn.CHOOSECOLS(_xlfn._xlws.FILTER(LN_IMP[],LN_IMP[DEMO]=BF15,""),1,6),2,-1),"")</f>
        <v>ST1 -Program 2</v>
      </c>
      <c r="CF3">
        <v>1.755618901436246</v>
      </c>
      <c r="CH3" t="str" cm="1">
        <f t="array" ref="CH3:CI8">IFERROR(_xlfn._xlws.SORT(_xlfn.CHOOSECOLS(_xlfn._xlws.FILTER(LN_IMP[],LN_IMP[DEMO]=BF15,""),1,7),2,-1),"")</f>
        <v>ST2 - Program 1</v>
      </c>
      <c r="CI3">
        <v>1.5130344108446299</v>
      </c>
      <c r="CK3" t="str" cm="1">
        <f t="array" ref="CK3:CL8">IFERROR(_xlfn._xlws.SORT(_xlfn.CHOOSECOLS(_xlfn._xlws.FILTER(LN_HP_IMP[],LN_HP_IMP[DEMO]=BF15,""),1,6),2,-1),"")</f>
        <v>ST3 - Program 1</v>
      </c>
      <c r="CL3">
        <v>2.1848572240952109</v>
      </c>
      <c r="CN3" t="str" cm="1">
        <f t="array" ref="CN3:CO8">IFERROR(_xlfn._xlws.SORT(_xlfn.CHOOSECOLS(_xlfn._xlws.FILTER(LN_HP_IMP[],LN_HP_IMP[DEMO]=BF15,""),1,7),2,-1),"")</f>
        <v>ST1 -Program 2</v>
      </c>
      <c r="CO3">
        <v>-6.8633891747874071E-2</v>
      </c>
      <c r="CQ3" t="str" cm="1">
        <f t="array" ref="CQ3:CR8">IFERROR(_xlfn._xlws.SORT(_xlfn.CHOOSECOLS(_xlfn._xlws.FILTER(LN_HP_PCT[],LN_HP_PCT[DEMO]=BF15,""),1,6),2,-1),"")</f>
        <v>ST3 - Program 1</v>
      </c>
      <c r="CR3">
        <v>2.1848312364816</v>
      </c>
      <c r="CT3" t="str" cm="1">
        <f t="array" ref="CT3:CU8">IFERROR(_xlfn._xlws.SORT(_xlfn.CHOOSECOLS(_xlfn._xlws.FILTER(LN_HP_PCT[],LN_HP_PCT[DEMO]=BF15,""),1,7),2,-1),"")</f>
        <v>ST1 -Program 2</v>
      </c>
      <c r="CU3">
        <v>-7.8984848202915764E-2</v>
      </c>
    </row>
    <row r="4" spans="1:99" ht="21" thickBot="1" x14ac:dyDescent="0.35">
      <c r="A4" s="4" t="s">
        <v>89</v>
      </c>
      <c r="B4" s="4" t="s">
        <v>93</v>
      </c>
      <c r="C4" s="4" t="s">
        <v>113</v>
      </c>
      <c r="D4" s="4" t="s">
        <v>33</v>
      </c>
      <c r="E4" s="4" t="s">
        <v>34</v>
      </c>
      <c r="F4" s="4"/>
      <c r="G4" s="5">
        <v>0.87027156000000006</v>
      </c>
      <c r="H4" s="6">
        <v>7.0821930000000002</v>
      </c>
      <c r="I4" s="6">
        <v>10767</v>
      </c>
      <c r="J4" s="6">
        <v>15203.3</v>
      </c>
      <c r="K4" s="5">
        <v>12.288164999999999</v>
      </c>
      <c r="L4" s="5">
        <v>1.25590559</v>
      </c>
      <c r="M4" s="6">
        <v>7.97643507</v>
      </c>
      <c r="N4" s="6">
        <v>14209</v>
      </c>
      <c r="O4" s="6">
        <v>17813.5</v>
      </c>
      <c r="P4" s="5">
        <v>15.745199230000001</v>
      </c>
      <c r="Q4" s="5">
        <v>1.21136267</v>
      </c>
      <c r="R4" s="6">
        <v>7.6605060700000003</v>
      </c>
      <c r="S4" s="6">
        <v>6898</v>
      </c>
      <c r="T4" s="6">
        <v>9004.4</v>
      </c>
      <c r="U4" s="5">
        <v>15.8130893</v>
      </c>
      <c r="V4" s="5">
        <v>0.92103800000000002</v>
      </c>
      <c r="W4" s="6">
        <v>8.0342203100000003</v>
      </c>
      <c r="X4" s="6">
        <v>11534</v>
      </c>
      <c r="Y4" s="6">
        <v>14356.6</v>
      </c>
      <c r="Z4" s="5">
        <v>11.4639376</v>
      </c>
      <c r="AA4" s="5">
        <v>1.2195798200000001</v>
      </c>
      <c r="AB4" s="6">
        <v>8.3779551800000007</v>
      </c>
      <c r="AC4" s="6">
        <v>13953</v>
      </c>
      <c r="AD4" s="6">
        <v>16654.400000000001</v>
      </c>
      <c r="AE4" s="5">
        <v>14.55701058</v>
      </c>
      <c r="AF4" s="5">
        <v>1.2787318000000001</v>
      </c>
      <c r="AG4" s="6">
        <v>8.9754884700000002</v>
      </c>
      <c r="AH4" s="6">
        <v>7358</v>
      </c>
      <c r="AI4" s="6">
        <v>8197.7000000000007</v>
      </c>
      <c r="AJ4" s="5">
        <v>14.24693263</v>
      </c>
      <c r="AK4" s="5">
        <v>1.05249481</v>
      </c>
      <c r="AL4" s="6">
        <v>10.264460440000001</v>
      </c>
      <c r="AM4" s="6">
        <v>13181</v>
      </c>
      <c r="AN4" s="6">
        <v>12841.1</v>
      </c>
      <c r="AO4" s="5">
        <v>10.25377626</v>
      </c>
      <c r="AP4" s="5">
        <v>1.2338538100000001</v>
      </c>
      <c r="AQ4" s="6">
        <v>9.3244789499999996</v>
      </c>
      <c r="AR4" s="6">
        <v>14116</v>
      </c>
      <c r="AS4" s="6">
        <v>15138.9</v>
      </c>
      <c r="AT4" s="5">
        <v>13.232415639999999</v>
      </c>
      <c r="AU4" s="5">
        <v>1.1135021899999999</v>
      </c>
      <c r="AV4" s="6">
        <v>8.3945884</v>
      </c>
      <c r="AW4" s="6">
        <v>6407</v>
      </c>
      <c r="AX4" s="6">
        <v>7632.4</v>
      </c>
      <c r="AY4" s="5">
        <v>13.264523949999999</v>
      </c>
      <c r="BE4" s="37" t="s">
        <v>72</v>
      </c>
      <c r="BF4" s="38" t="str">
        <f>_xlfn.CONCAT(BG4,BG2,BH4,BG3)</f>
        <v>='Midday Programs'!AC63</v>
      </c>
      <c r="BG4" s="21" t="s">
        <v>79</v>
      </c>
      <c r="BH4" s="21" t="s">
        <v>77</v>
      </c>
      <c r="BJ4" s="4" t="s">
        <v>113</v>
      </c>
      <c r="BK4" s="6">
        <v>14116</v>
      </c>
      <c r="BL4">
        <f t="shared" ref="BL4:BL22" si="0">IF(BK4="","",BK4)</f>
        <v>14116</v>
      </c>
      <c r="BM4" s="4" t="s">
        <v>113</v>
      </c>
      <c r="BN4" s="6">
        <v>13181</v>
      </c>
      <c r="BO4">
        <f t="shared" ref="BO4:BO24" si="1">IF(BN4="","",BN4)</f>
        <v>13181</v>
      </c>
      <c r="BP4" s="4" t="s">
        <v>113</v>
      </c>
      <c r="BQ4" s="6">
        <v>6407</v>
      </c>
      <c r="BR4">
        <f t="shared" ref="BR4:BR24" si="2">IF(BQ4="","",BQ4)</f>
        <v>6407</v>
      </c>
      <c r="BS4" t="str">
        <v>ST2 - Program 1</v>
      </c>
      <c r="BT4">
        <v>0.35889314064975708</v>
      </c>
      <c r="BV4" t="str">
        <v>ST1 -Program 2</v>
      </c>
      <c r="BW4">
        <v>1.2644819507548417</v>
      </c>
      <c r="BY4" t="str">
        <v>ST5 - Program 1</v>
      </c>
      <c r="BZ4">
        <v>0.40521783427487051</v>
      </c>
      <c r="CB4" t="str">
        <v>ST1 -Program 2</v>
      </c>
      <c r="CC4">
        <v>1.4586804648566565</v>
      </c>
      <c r="CE4" t="str">
        <v>ST2 - Program 1</v>
      </c>
      <c r="CF4">
        <v>0.3587671490321368</v>
      </c>
      <c r="CH4" t="str">
        <v>ST1 -Program 2</v>
      </c>
      <c r="CI4">
        <v>1.289905247813411</v>
      </c>
      <c r="CK4" t="str">
        <v>ST2 - Program 1</v>
      </c>
      <c r="CL4">
        <v>0.41826770746320258</v>
      </c>
      <c r="CN4" t="str">
        <v>ST1 -Program 1</v>
      </c>
      <c r="CO4">
        <v>-0.15014455328823648</v>
      </c>
      <c r="CQ4" t="str">
        <v>ST2 - Program 1</v>
      </c>
      <c r="CR4">
        <v>0.41826793730239337</v>
      </c>
      <c r="CT4" t="str">
        <v>ST1 -Program 1</v>
      </c>
      <c r="CU4">
        <v>-0.15959046013290754</v>
      </c>
    </row>
    <row r="5" spans="1:99" ht="21" thickBot="1" x14ac:dyDescent="0.35">
      <c r="A5" s="4" t="s">
        <v>89</v>
      </c>
      <c r="B5" s="4" t="s">
        <v>93</v>
      </c>
      <c r="C5" s="4" t="s">
        <v>114</v>
      </c>
      <c r="D5" s="4" t="s">
        <v>35</v>
      </c>
      <c r="E5" s="4" t="s">
        <v>34</v>
      </c>
      <c r="F5" s="4"/>
      <c r="G5" s="5">
        <v>0.59731308999999999</v>
      </c>
      <c r="H5" s="6">
        <v>5.3047151599999998</v>
      </c>
      <c r="I5" s="6">
        <v>7390</v>
      </c>
      <c r="J5" s="6">
        <v>13931.3</v>
      </c>
      <c r="K5" s="5">
        <v>11.260040869999999</v>
      </c>
      <c r="L5" s="5">
        <v>0.97012949000000004</v>
      </c>
      <c r="M5" s="6">
        <v>6.6764331700000001</v>
      </c>
      <c r="N5" s="6">
        <v>10976</v>
      </c>
      <c r="O5" s="6">
        <v>16439.400000000001</v>
      </c>
      <c r="P5" s="5">
        <v>14.53065526</v>
      </c>
      <c r="Q5" s="5">
        <v>0.85682625000000001</v>
      </c>
      <c r="R5" s="6">
        <v>5.65051141</v>
      </c>
      <c r="S5" s="6">
        <v>4879</v>
      </c>
      <c r="T5" s="6">
        <v>8634.6</v>
      </c>
      <c r="U5" s="5">
        <v>15.163693800000001</v>
      </c>
      <c r="V5" s="5">
        <v>0.83640028</v>
      </c>
      <c r="W5" s="6">
        <v>8.1177537399999995</v>
      </c>
      <c r="X5" s="6">
        <v>10475</v>
      </c>
      <c r="Y5" s="6">
        <v>12903.2</v>
      </c>
      <c r="Z5" s="5">
        <v>10.303346319999999</v>
      </c>
      <c r="AA5" s="5">
        <v>0.79723584999999997</v>
      </c>
      <c r="AB5" s="6">
        <v>6.0071788499999998</v>
      </c>
      <c r="AC5" s="6">
        <v>9121</v>
      </c>
      <c r="AD5" s="6">
        <v>15183.5</v>
      </c>
      <c r="AE5" s="5">
        <v>13.27138534</v>
      </c>
      <c r="AF5" s="5">
        <v>0.90119446999999997</v>
      </c>
      <c r="AG5" s="6">
        <v>6.8561795500000002</v>
      </c>
      <c r="AH5" s="6">
        <v>5186</v>
      </c>
      <c r="AI5" s="6">
        <v>7563.2</v>
      </c>
      <c r="AJ5" s="5">
        <v>13.144265839999999</v>
      </c>
      <c r="AK5" s="5">
        <v>1.9308793</v>
      </c>
      <c r="AL5" s="6">
        <v>18.99379467</v>
      </c>
      <c r="AM5" s="6">
        <v>24181</v>
      </c>
      <c r="AN5" s="6">
        <v>12731</v>
      </c>
      <c r="AO5" s="5">
        <v>10.16584274</v>
      </c>
      <c r="AP5" s="5">
        <v>2.19684072</v>
      </c>
      <c r="AQ5" s="6">
        <v>16.415215809999999</v>
      </c>
      <c r="AR5" s="6">
        <v>25134</v>
      </c>
      <c r="AS5" s="6">
        <v>15311.1</v>
      </c>
      <c r="AT5" s="5">
        <v>13.38295366</v>
      </c>
      <c r="AU5" s="5">
        <v>1.6623628500000001</v>
      </c>
      <c r="AV5" s="6">
        <v>12.593832580000001</v>
      </c>
      <c r="AW5" s="6">
        <v>9565</v>
      </c>
      <c r="AX5" s="6">
        <v>7595.2</v>
      </c>
      <c r="AY5" s="5">
        <v>13.199816970000001</v>
      </c>
      <c r="BE5" s="37" t="s">
        <v>73</v>
      </c>
      <c r="BF5" s="38" t="str">
        <f>_xlfn.CONCAT(BG4,BG2,BH5,BG3)</f>
        <v>='Midday Programs'!AK63</v>
      </c>
      <c r="BG5" s="21"/>
      <c r="BH5" s="21" t="s">
        <v>78</v>
      </c>
      <c r="BJ5" s="4" t="s">
        <v>116</v>
      </c>
      <c r="BK5" s="6">
        <v>9487</v>
      </c>
      <c r="BL5">
        <f t="shared" si="0"/>
        <v>9487</v>
      </c>
      <c r="BM5" s="4" t="s">
        <v>124</v>
      </c>
      <c r="BN5" s="6">
        <v>6637</v>
      </c>
      <c r="BO5">
        <f t="shared" si="1"/>
        <v>6637</v>
      </c>
      <c r="BP5" s="4" t="s">
        <v>124</v>
      </c>
      <c r="BQ5" s="6">
        <v>5245</v>
      </c>
      <c r="BR5">
        <f t="shared" si="2"/>
        <v>5245</v>
      </c>
      <c r="BS5" t="str">
        <v>ST3 - Program 1</v>
      </c>
      <c r="BT5">
        <v>0.3121081961749948</v>
      </c>
      <c r="BV5" t="str">
        <v>ST1 -Program 1</v>
      </c>
      <c r="BW5">
        <v>-1.7558469502472685E-2</v>
      </c>
      <c r="BY5" t="str">
        <v>ST1 -Program 1</v>
      </c>
      <c r="BZ5">
        <v>0.11297789850434588</v>
      </c>
      <c r="CB5" t="str">
        <v>ST5 - Program 1</v>
      </c>
      <c r="CC5">
        <v>0.17948568240416812</v>
      </c>
      <c r="CE5" t="str">
        <v>ST3 - Program 1</v>
      </c>
      <c r="CF5">
        <v>0.31217150760719226</v>
      </c>
      <c r="CH5" t="str">
        <v>ST1 -Program 1</v>
      </c>
      <c r="CI5">
        <v>-6.5451474417622633E-3</v>
      </c>
      <c r="CK5" t="str">
        <v>ST1 -Program 2</v>
      </c>
      <c r="CL5">
        <v>8.4038594526953843E-3</v>
      </c>
      <c r="CN5" t="str">
        <v>ST3 - Program 1</v>
      </c>
      <c r="CO5">
        <v>-0.17032083298061454</v>
      </c>
      <c r="CQ5" t="str">
        <v>ST1 -Program 2</v>
      </c>
      <c r="CR5">
        <v>8.4066822823486743E-3</v>
      </c>
      <c r="CT5" t="str">
        <v>ST3 - Program 1</v>
      </c>
      <c r="CU5">
        <v>-0.17954230434153368</v>
      </c>
    </row>
    <row r="6" spans="1:99" ht="20.399999999999999" x14ac:dyDescent="0.3">
      <c r="A6" s="4" t="s">
        <v>90</v>
      </c>
      <c r="B6" s="4" t="s">
        <v>94</v>
      </c>
      <c r="C6" s="4" t="s">
        <v>115</v>
      </c>
      <c r="D6" s="4" t="s">
        <v>36</v>
      </c>
      <c r="E6" s="4" t="s">
        <v>37</v>
      </c>
      <c r="F6" s="4"/>
      <c r="G6" s="5">
        <v>0.18355446</v>
      </c>
      <c r="H6" s="6">
        <v>1.7010726300000001</v>
      </c>
      <c r="I6" s="6">
        <v>2271</v>
      </c>
      <c r="J6" s="6">
        <v>13350.4</v>
      </c>
      <c r="K6" s="5">
        <v>10.790512720000001</v>
      </c>
      <c r="L6" s="5">
        <v>0.25429549000000001</v>
      </c>
      <c r="M6" s="6">
        <v>1.6869447900000001</v>
      </c>
      <c r="N6" s="6">
        <v>2877</v>
      </c>
      <c r="O6" s="6">
        <v>17054.5</v>
      </c>
      <c r="P6" s="5">
        <v>15.07432199</v>
      </c>
      <c r="Q6" s="5">
        <v>0.21021132000000001</v>
      </c>
      <c r="R6" s="6">
        <v>1.4561689499999999</v>
      </c>
      <c r="S6" s="6">
        <v>1197</v>
      </c>
      <c r="T6" s="6">
        <v>8220.2000000000007</v>
      </c>
      <c r="U6" s="5">
        <v>14.435915400000001</v>
      </c>
      <c r="V6" s="5">
        <v>0.27971040000000003</v>
      </c>
      <c r="W6" s="6">
        <v>12.190296549999999</v>
      </c>
      <c r="X6" s="6">
        <v>3503</v>
      </c>
      <c r="Y6" s="6">
        <v>2873.5</v>
      </c>
      <c r="Z6" s="5">
        <v>2.2945331499999999</v>
      </c>
      <c r="AA6" s="5">
        <v>0.46504915000000002</v>
      </c>
      <c r="AB6" s="6">
        <v>15.325306579999999</v>
      </c>
      <c r="AC6" s="6">
        <v>5321</v>
      </c>
      <c r="AD6" s="6">
        <v>3471.7</v>
      </c>
      <c r="AE6" s="5">
        <v>3.03451775</v>
      </c>
      <c r="AF6" s="5">
        <v>0.59574768</v>
      </c>
      <c r="AG6" s="6">
        <v>16.668915640000002</v>
      </c>
      <c r="AH6" s="6">
        <v>3428</v>
      </c>
      <c r="AI6" s="6">
        <v>2056.5</v>
      </c>
      <c r="AJ6" s="5">
        <v>3.5740037899999999</v>
      </c>
      <c r="AK6" s="5">
        <v>0.39824635000000003</v>
      </c>
      <c r="AL6" s="6">
        <v>12.26941927</v>
      </c>
      <c r="AM6" s="6">
        <v>4987</v>
      </c>
      <c r="AN6" s="6">
        <v>4064.9</v>
      </c>
      <c r="AO6" s="5">
        <v>3.2458451500000001</v>
      </c>
      <c r="AP6" s="5">
        <v>0.63195210000000002</v>
      </c>
      <c r="AQ6" s="6">
        <v>14.68372349</v>
      </c>
      <c r="AR6" s="6">
        <v>7230</v>
      </c>
      <c r="AS6" s="6">
        <v>4923.8</v>
      </c>
      <c r="AT6" s="5">
        <v>4.3037592299999998</v>
      </c>
      <c r="AU6" s="5">
        <v>0.69938374000000003</v>
      </c>
      <c r="AV6" s="6">
        <v>14.224721280000001</v>
      </c>
      <c r="AW6" s="6">
        <v>4024</v>
      </c>
      <c r="AX6" s="6">
        <v>2829.1</v>
      </c>
      <c r="AY6" s="5">
        <v>4.9166779600000003</v>
      </c>
      <c r="BJ6" s="4" t="s">
        <v>124</v>
      </c>
      <c r="BK6" s="6">
        <v>8707</v>
      </c>
      <c r="BL6">
        <f t="shared" si="0"/>
        <v>8707</v>
      </c>
      <c r="BM6" s="4" t="s">
        <v>116</v>
      </c>
      <c r="BN6" s="6">
        <v>6549</v>
      </c>
      <c r="BO6">
        <f t="shared" si="1"/>
        <v>6549</v>
      </c>
      <c r="BP6" s="4" t="s">
        <v>116</v>
      </c>
      <c r="BQ6" s="6">
        <v>4310</v>
      </c>
      <c r="BR6">
        <f t="shared" si="2"/>
        <v>4310</v>
      </c>
      <c r="BS6" t="str">
        <v>ST5 - Program 1</v>
      </c>
      <c r="BT6">
        <v>0.28189273010970473</v>
      </c>
      <c r="BV6" t="str">
        <v>ST5 - Program 1</v>
      </c>
      <c r="BW6">
        <v>-3.7987831527360495E-2</v>
      </c>
      <c r="BY6" t="str">
        <v>ST4 - Program 1</v>
      </c>
      <c r="BZ6">
        <v>-2.9104744059114805E-2</v>
      </c>
      <c r="CB6" t="str">
        <v>ST1 -Program 1</v>
      </c>
      <c r="CC6">
        <v>0.16900330387820728</v>
      </c>
      <c r="CE6" t="str">
        <v>ST5 - Program 1</v>
      </c>
      <c r="CF6">
        <v>0.28194935217903416</v>
      </c>
      <c r="CH6" t="str">
        <v>ST5 - Program 1</v>
      </c>
      <c r="CI6">
        <v>-2.7150837988826816E-2</v>
      </c>
      <c r="CK6" t="str">
        <v>ST4 - Program 1</v>
      </c>
      <c r="CL6">
        <v>-5.3540712306940214E-2</v>
      </c>
      <c r="CN6" t="str">
        <v>ST4 - Program 1</v>
      </c>
      <c r="CO6">
        <v>-0.17343889184644812</v>
      </c>
      <c r="CQ6" t="str">
        <v>ST4 - Program 1</v>
      </c>
      <c r="CR6">
        <v>-5.3539181870109906E-2</v>
      </c>
      <c r="CT6" t="str">
        <v>ST4 - Program 1</v>
      </c>
      <c r="CU6">
        <v>-0.18262632233654966</v>
      </c>
    </row>
    <row r="7" spans="1:99" ht="21" thickBot="1" x14ac:dyDescent="0.35">
      <c r="A7" s="4" t="s">
        <v>91</v>
      </c>
      <c r="B7" s="4" t="s">
        <v>95</v>
      </c>
      <c r="C7" s="4" t="s">
        <v>116</v>
      </c>
      <c r="D7" s="4" t="s">
        <v>33</v>
      </c>
      <c r="E7" s="4" t="s">
        <v>34</v>
      </c>
      <c r="F7" s="4"/>
      <c r="G7" s="5">
        <v>0.77759741000000004</v>
      </c>
      <c r="H7" s="6">
        <v>5.9119593200000002</v>
      </c>
      <c r="I7" s="6">
        <v>9621</v>
      </c>
      <c r="J7" s="6">
        <v>16273.3</v>
      </c>
      <c r="K7" s="5">
        <v>13.152956039999999</v>
      </c>
      <c r="L7" s="5">
        <v>1.07540236</v>
      </c>
      <c r="M7" s="6">
        <v>6.4371375300000002</v>
      </c>
      <c r="N7" s="6">
        <v>12167</v>
      </c>
      <c r="O7" s="6">
        <v>18900.8</v>
      </c>
      <c r="P7" s="5">
        <v>16.706220080000001</v>
      </c>
      <c r="Q7" s="5">
        <v>1.24185173</v>
      </c>
      <c r="R7" s="6">
        <v>7.4889053099999998</v>
      </c>
      <c r="S7" s="6">
        <v>7071</v>
      </c>
      <c r="T7" s="6">
        <v>9442.6</v>
      </c>
      <c r="U7" s="5">
        <v>16.582553440000002</v>
      </c>
      <c r="V7" s="5">
        <v>0.39824635000000003</v>
      </c>
      <c r="W7" s="6">
        <v>12.26941927</v>
      </c>
      <c r="X7" s="6">
        <v>4987</v>
      </c>
      <c r="Y7" s="6">
        <v>4064.9</v>
      </c>
      <c r="Z7" s="5">
        <v>3.2458451500000001</v>
      </c>
      <c r="AA7" s="5">
        <v>0.63195210000000002</v>
      </c>
      <c r="AB7" s="6">
        <v>14.68372349</v>
      </c>
      <c r="AC7" s="6">
        <v>7230</v>
      </c>
      <c r="AD7" s="6">
        <v>4923.8</v>
      </c>
      <c r="AE7" s="5">
        <v>4.3037592299999998</v>
      </c>
      <c r="AF7" s="5">
        <v>0.69938374000000003</v>
      </c>
      <c r="AG7" s="6">
        <v>14.224721280000001</v>
      </c>
      <c r="AH7" s="6">
        <v>4024</v>
      </c>
      <c r="AI7" s="6">
        <v>2829.1</v>
      </c>
      <c r="AJ7" s="5">
        <v>4.9166779600000003</v>
      </c>
      <c r="AK7" s="5">
        <v>0.52297276000000004</v>
      </c>
      <c r="AL7" s="6">
        <v>4.8928792000000003</v>
      </c>
      <c r="AM7" s="6">
        <v>6549</v>
      </c>
      <c r="AN7" s="6">
        <v>13385.5</v>
      </c>
      <c r="AO7" s="5">
        <v>10.688446190000001</v>
      </c>
      <c r="AP7" s="5">
        <v>0.82918952999999995</v>
      </c>
      <c r="AQ7" s="6">
        <v>6.0494991300000001</v>
      </c>
      <c r="AR7" s="6">
        <v>9487</v>
      </c>
      <c r="AS7" s="6">
        <v>15681.6</v>
      </c>
      <c r="AT7" s="5">
        <v>13.70674683</v>
      </c>
      <c r="AU7" s="5">
        <v>0.74905326999999999</v>
      </c>
      <c r="AV7" s="6">
        <v>5.5068075299999997</v>
      </c>
      <c r="AW7" s="6">
        <v>4310</v>
      </c>
      <c r="AX7" s="6">
        <v>7826.8</v>
      </c>
      <c r="AY7" s="5">
        <v>13.602314379999999</v>
      </c>
      <c r="BE7" s="27" t="s">
        <v>86</v>
      </c>
      <c r="BF7" s="51" t="s">
        <v>68</v>
      </c>
      <c r="BG7" s="51"/>
      <c r="BJ7" s="4" t="s">
        <v>111</v>
      </c>
      <c r="BK7" s="9">
        <v>8096</v>
      </c>
      <c r="BL7">
        <f t="shared" si="0"/>
        <v>8096</v>
      </c>
      <c r="BM7" s="4" t="s">
        <v>115</v>
      </c>
      <c r="BN7" s="6">
        <v>4987</v>
      </c>
      <c r="BO7">
        <f t="shared" si="1"/>
        <v>4987</v>
      </c>
      <c r="BP7" s="4" t="s">
        <v>115</v>
      </c>
      <c r="BQ7" s="6">
        <v>4024</v>
      </c>
      <c r="BR7">
        <f t="shared" si="2"/>
        <v>4024</v>
      </c>
      <c r="BS7" t="str">
        <v>ST1 -Program 1</v>
      </c>
      <c r="BT7">
        <v>1.1704022783846945E-2</v>
      </c>
      <c r="BV7" t="str">
        <v>ST4 - Program 1</v>
      </c>
      <c r="BW7">
        <v>-0.16772886699568568</v>
      </c>
      <c r="BY7" t="str">
        <v>ST2 - Program 1</v>
      </c>
      <c r="BZ7">
        <v>-4.1864290717504152E-2</v>
      </c>
      <c r="CB7" t="str">
        <v>ST4 - Program 1</v>
      </c>
      <c r="CC7">
        <v>1.822600504471442E-2</v>
      </c>
      <c r="CE7" t="str">
        <v>ST1 -Program 1</v>
      </c>
      <c r="CF7">
        <v>1.1682075539310543E-2</v>
      </c>
      <c r="CH7" t="str">
        <v>ST4 - Program 1</v>
      </c>
      <c r="CI7">
        <v>-0.15833246699241085</v>
      </c>
      <c r="CK7" t="str">
        <v>ST5 - Program 1</v>
      </c>
      <c r="CL7">
        <v>-8.7764802733593175E-2</v>
      </c>
      <c r="CN7" t="str">
        <v>ST5 - Program 1</v>
      </c>
      <c r="CO7">
        <v>-0.17521106080998414</v>
      </c>
      <c r="CQ7" t="str">
        <v>ST5 - Program 1</v>
      </c>
      <c r="CR7">
        <v>-8.776226734802095E-2</v>
      </c>
      <c r="CT7" t="str">
        <v>ST5 - Program 1</v>
      </c>
      <c r="CU7">
        <v>-0.1843799544485431</v>
      </c>
    </row>
    <row r="8" spans="1:99" ht="20.399999999999999" x14ac:dyDescent="0.3">
      <c r="A8" s="4" t="s">
        <v>92</v>
      </c>
      <c r="B8" s="4" t="s">
        <v>96</v>
      </c>
      <c r="C8" s="4" t="s">
        <v>111</v>
      </c>
      <c r="D8" s="7" t="s">
        <v>33</v>
      </c>
      <c r="E8" s="7" t="s">
        <v>38</v>
      </c>
      <c r="F8" s="7"/>
      <c r="G8" s="8">
        <v>0.60478405000000002</v>
      </c>
      <c r="H8" s="9">
        <v>4.56955811</v>
      </c>
      <c r="I8" s="9">
        <v>7483</v>
      </c>
      <c r="J8" s="9">
        <v>16374.9</v>
      </c>
      <c r="K8" s="8">
        <v>13.2350665</v>
      </c>
      <c r="L8" s="8">
        <v>0.85023039</v>
      </c>
      <c r="M8" s="9">
        <v>5.0701741699999996</v>
      </c>
      <c r="N8" s="9">
        <v>9619</v>
      </c>
      <c r="O8" s="9">
        <v>18972.099999999999</v>
      </c>
      <c r="P8" s="8">
        <v>16.769254020000002</v>
      </c>
      <c r="Q8" s="8">
        <v>0.79735856999999999</v>
      </c>
      <c r="R8" s="9">
        <v>4.7819772299999999</v>
      </c>
      <c r="S8" s="9">
        <v>4540</v>
      </c>
      <c r="T8" s="9">
        <v>9494.7999999999993</v>
      </c>
      <c r="U8" s="8">
        <v>16.674244460000001</v>
      </c>
      <c r="V8" s="8">
        <v>0.49163519999999999</v>
      </c>
      <c r="W8" s="9">
        <v>4.3088751500000004</v>
      </c>
      <c r="X8" s="9">
        <v>6157</v>
      </c>
      <c r="Y8" s="9">
        <v>14288.9</v>
      </c>
      <c r="Z8" s="8">
        <v>11.409826949999999</v>
      </c>
      <c r="AA8" s="8">
        <v>0.77006332</v>
      </c>
      <c r="AB8" s="9">
        <v>5.3173431000000004</v>
      </c>
      <c r="AC8" s="9">
        <v>8810</v>
      </c>
      <c r="AD8" s="9">
        <v>16568.7</v>
      </c>
      <c r="AE8" s="8">
        <v>14.48210699</v>
      </c>
      <c r="AF8" s="8">
        <v>0.78308593999999998</v>
      </c>
      <c r="AG8" s="9">
        <v>5.5317676999999996</v>
      </c>
      <c r="AH8" s="9">
        <v>4506</v>
      </c>
      <c r="AI8" s="9">
        <v>8145.5</v>
      </c>
      <c r="AJ8" s="8">
        <v>14.15616099</v>
      </c>
      <c r="AK8" s="8">
        <v>0.27147176000000001</v>
      </c>
      <c r="AL8" s="9">
        <v>2.5398617799999998</v>
      </c>
      <c r="AM8" s="9">
        <v>3400</v>
      </c>
      <c r="AN8" s="9">
        <v>13385.5</v>
      </c>
      <c r="AO8" s="8">
        <v>10.688446190000001</v>
      </c>
      <c r="AP8" s="8">
        <v>0.70762221000000003</v>
      </c>
      <c r="AQ8" s="9">
        <v>5.1625831900000003</v>
      </c>
      <c r="AR8" s="9">
        <v>8096</v>
      </c>
      <c r="AS8" s="9">
        <v>15681.6</v>
      </c>
      <c r="AT8" s="8">
        <v>13.70674683</v>
      </c>
      <c r="AU8" s="8">
        <v>0.68766152000000003</v>
      </c>
      <c r="AV8" s="9">
        <v>5.0554743699999998</v>
      </c>
      <c r="AW8" s="9">
        <v>3957</v>
      </c>
      <c r="AX8" s="9">
        <v>7826.8</v>
      </c>
      <c r="AY8" s="8">
        <v>13.602314379999999</v>
      </c>
      <c r="BE8">
        <v>14</v>
      </c>
      <c r="BG8" s="23" t="s">
        <v>45</v>
      </c>
      <c r="BJ8" s="4" t="s">
        <v>115</v>
      </c>
      <c r="BK8" s="6">
        <v>7230</v>
      </c>
      <c r="BL8">
        <f t="shared" si="0"/>
        <v>7230</v>
      </c>
      <c r="BM8" s="4" t="s">
        <v>111</v>
      </c>
      <c r="BN8" s="9">
        <v>3400</v>
      </c>
      <c r="BO8">
        <f t="shared" si="1"/>
        <v>3400</v>
      </c>
      <c r="BP8" s="4" t="s">
        <v>111</v>
      </c>
      <c r="BQ8" s="9">
        <v>3957</v>
      </c>
      <c r="BR8">
        <f t="shared" si="2"/>
        <v>3957</v>
      </c>
      <c r="BS8" t="str">
        <v>ST4 - Program 1</v>
      </c>
      <c r="BT8">
        <v>-8.1085682668277162E-2</v>
      </c>
      <c r="BV8" t="str">
        <v>ST3 - Program 1</v>
      </c>
      <c r="BW8">
        <v>-0.22894949756294011</v>
      </c>
      <c r="BY8" t="str">
        <v>ST3 - Program 1</v>
      </c>
      <c r="BZ8">
        <v>-0.58801327646084689</v>
      </c>
      <c r="CB8" t="str">
        <v>ST3 - Program 1</v>
      </c>
      <c r="CC8">
        <v>-6.0219064482221828E-2</v>
      </c>
      <c r="CE8" t="str">
        <v>ST4 - Program 1</v>
      </c>
      <c r="CF8">
        <v>-8.1044267877412035E-2</v>
      </c>
      <c r="CH8" t="str">
        <v>ST3 - Program 1</v>
      </c>
      <c r="CI8">
        <v>-0.22026793786471605</v>
      </c>
      <c r="CK8" t="str">
        <v>ST1 -Program 1</v>
      </c>
      <c r="CL8">
        <v>-9.0996973772696804E-2</v>
      </c>
      <c r="CN8" t="str">
        <v>ST2 - Program 1</v>
      </c>
      <c r="CO8">
        <v>-0.71129027529391076</v>
      </c>
      <c r="CQ8" t="str">
        <v>ST1 -Program 1</v>
      </c>
      <c r="CR8">
        <v>-9.0993609760775543E-2</v>
      </c>
      <c r="CT8" t="str">
        <v>ST2 - Program 1</v>
      </c>
      <c r="CU8">
        <v>-0.71449732645653807</v>
      </c>
    </row>
    <row r="9" spans="1:99" ht="21" thickBot="1" x14ac:dyDescent="0.35">
      <c r="A9" s="4" t="s">
        <v>122</v>
      </c>
      <c r="B9" s="4" t="s">
        <v>123</v>
      </c>
      <c r="C9" s="4" t="s">
        <v>124</v>
      </c>
      <c r="D9" s="4" t="s">
        <v>39</v>
      </c>
      <c r="E9" s="4" t="s">
        <v>40</v>
      </c>
      <c r="F9" s="4"/>
      <c r="G9" s="5">
        <v>0.50036035000000001</v>
      </c>
      <c r="H9" s="6">
        <v>3.69324393</v>
      </c>
      <c r="I9" s="6">
        <v>6191</v>
      </c>
      <c r="J9" s="6">
        <v>16762</v>
      </c>
      <c r="K9" s="5">
        <v>13.54799075</v>
      </c>
      <c r="L9" s="5">
        <v>0.79110175000000005</v>
      </c>
      <c r="M9" s="6">
        <v>4.5628903599999999</v>
      </c>
      <c r="N9" s="6">
        <v>8950</v>
      </c>
      <c r="O9" s="6">
        <v>19615.2</v>
      </c>
      <c r="P9" s="5">
        <v>17.337733050000001</v>
      </c>
      <c r="Q9" s="5">
        <v>0.94224838</v>
      </c>
      <c r="R9" s="6">
        <v>5.46570321</v>
      </c>
      <c r="S9" s="6">
        <v>5365</v>
      </c>
      <c r="T9" s="6">
        <v>9816.5</v>
      </c>
      <c r="U9" s="5">
        <v>17.23928909</v>
      </c>
      <c r="V9" s="5">
        <v>0.39550779000000003</v>
      </c>
      <c r="W9" s="6">
        <v>3.2165419700000002</v>
      </c>
      <c r="X9" s="6">
        <v>4953</v>
      </c>
      <c r="Y9" s="6">
        <v>15398.7</v>
      </c>
      <c r="Z9" s="5">
        <v>12.29605565</v>
      </c>
      <c r="AA9" s="5">
        <v>0.59369203999999998</v>
      </c>
      <c r="AB9" s="6">
        <v>3.8299142800000001</v>
      </c>
      <c r="AC9" s="6">
        <v>6792</v>
      </c>
      <c r="AD9" s="6">
        <v>17734.900000000001</v>
      </c>
      <c r="AE9" s="5">
        <v>15.50144454</v>
      </c>
      <c r="AF9" s="5">
        <v>0.69766174999999997</v>
      </c>
      <c r="AG9" s="6">
        <v>4.5420225099999998</v>
      </c>
      <c r="AH9" s="6">
        <v>4014</v>
      </c>
      <c r="AI9" s="6">
        <v>8838.2999999999993</v>
      </c>
      <c r="AJ9" s="5">
        <v>15.360156269999999</v>
      </c>
      <c r="AK9" s="5">
        <v>0.52996505000000005</v>
      </c>
      <c r="AL9" s="6">
        <v>4.7981786399999997</v>
      </c>
      <c r="AM9" s="6">
        <v>6637</v>
      </c>
      <c r="AN9" s="6">
        <v>13832.2</v>
      </c>
      <c r="AO9" s="5">
        <v>11.045129709999999</v>
      </c>
      <c r="AP9" s="5">
        <v>0.76104950999999998</v>
      </c>
      <c r="AQ9" s="6">
        <v>5.3818638500000002</v>
      </c>
      <c r="AR9" s="6">
        <v>8707</v>
      </c>
      <c r="AS9" s="6">
        <v>16178.4</v>
      </c>
      <c r="AT9" s="5">
        <v>14.14100262</v>
      </c>
      <c r="AU9" s="5">
        <v>0.91145973999999996</v>
      </c>
      <c r="AV9" s="6">
        <v>6.5110062099999997</v>
      </c>
      <c r="AW9" s="6">
        <v>5245</v>
      </c>
      <c r="AX9" s="6">
        <v>8054.9</v>
      </c>
      <c r="AY9" s="5">
        <v>13.99875392</v>
      </c>
      <c r="BE9" t="s">
        <v>87</v>
      </c>
      <c r="BG9" s="24" t="s">
        <v>11</v>
      </c>
      <c r="BJ9" s="4"/>
      <c r="BK9" s="5"/>
      <c r="BL9" t="str">
        <f t="shared" si="0"/>
        <v/>
      </c>
      <c r="BM9" s="4"/>
      <c r="BN9" s="5"/>
      <c r="BO9" t="str">
        <f t="shared" si="1"/>
        <v/>
      </c>
      <c r="BP9" s="4"/>
      <c r="BQ9" s="5"/>
      <c r="BR9" t="str">
        <f t="shared" si="2"/>
        <v/>
      </c>
    </row>
    <row r="10" spans="1:99" ht="15" thickBot="1" x14ac:dyDescent="0.35">
      <c r="BE10">
        <v>32</v>
      </c>
      <c r="BJ10" s="4"/>
      <c r="BK10" s="5"/>
      <c r="BL10" t="str">
        <f t="shared" si="0"/>
        <v/>
      </c>
      <c r="BM10" s="4"/>
      <c r="BN10" s="5"/>
      <c r="BO10" t="str">
        <f t="shared" si="1"/>
        <v/>
      </c>
      <c r="BP10" s="4"/>
      <c r="BQ10" s="5"/>
      <c r="BR10" t="str">
        <f t="shared" si="2"/>
        <v/>
      </c>
    </row>
    <row r="11" spans="1:99" x14ac:dyDescent="0.3">
      <c r="BF11" s="23" t="s">
        <v>45</v>
      </c>
      <c r="BG11" s="23" t="s">
        <v>45</v>
      </c>
      <c r="BJ11" s="4"/>
      <c r="BK11" s="5"/>
      <c r="BL11" t="str">
        <f t="shared" si="0"/>
        <v/>
      </c>
      <c r="BM11" s="4"/>
      <c r="BN11" s="5"/>
      <c r="BO11" t="str">
        <f t="shared" si="1"/>
        <v/>
      </c>
      <c r="BP11" s="4"/>
      <c r="BQ11" s="5"/>
      <c r="BR11" t="str">
        <f t="shared" si="2"/>
        <v/>
      </c>
    </row>
    <row r="12" spans="1:99" ht="15" thickBot="1" x14ac:dyDescent="0.35">
      <c r="A12" t="s">
        <v>51</v>
      </c>
      <c r="I12" t="s">
        <v>55</v>
      </c>
      <c r="Q12" t="s">
        <v>56</v>
      </c>
      <c r="Y12" t="s">
        <v>43</v>
      </c>
      <c r="AG12" t="s">
        <v>44</v>
      </c>
      <c r="BF12" s="24" t="s">
        <v>10</v>
      </c>
      <c r="BG12" s="24" t="s">
        <v>12</v>
      </c>
      <c r="BJ12" s="4"/>
      <c r="BK12" s="5"/>
      <c r="BL12" t="str">
        <f t="shared" si="0"/>
        <v/>
      </c>
      <c r="BM12" s="4"/>
      <c r="BN12" s="5"/>
      <c r="BO12" t="str">
        <f t="shared" si="1"/>
        <v/>
      </c>
      <c r="BP12" s="4"/>
      <c r="BQ12" s="5"/>
      <c r="BR12" t="str">
        <f t="shared" si="2"/>
        <v/>
      </c>
    </row>
    <row r="13" spans="1:99" ht="15" thickBot="1" x14ac:dyDescent="0.35">
      <c r="BJ13" s="4"/>
      <c r="BK13" s="5"/>
      <c r="BL13" t="str">
        <f t="shared" si="0"/>
        <v/>
      </c>
      <c r="BM13" s="4"/>
      <c r="BN13" s="5"/>
      <c r="BO13" t="str">
        <f t="shared" si="1"/>
        <v/>
      </c>
      <c r="BP13" s="4"/>
      <c r="BQ13" s="5"/>
      <c r="BR13" t="str">
        <f t="shared" si="2"/>
        <v/>
      </c>
    </row>
    <row r="14" spans="1:99" x14ac:dyDescent="0.3">
      <c r="A14" t="s">
        <v>41</v>
      </c>
      <c r="B14" t="s">
        <v>45</v>
      </c>
      <c r="C14" t="s">
        <v>61</v>
      </c>
      <c r="D14" t="s">
        <v>62</v>
      </c>
      <c r="E14" t="s">
        <v>60</v>
      </c>
      <c r="F14" t="s">
        <v>63</v>
      </c>
      <c r="G14" t="s">
        <v>64</v>
      </c>
      <c r="I14" t="s">
        <v>41</v>
      </c>
      <c r="J14" t="s">
        <v>45</v>
      </c>
      <c r="K14" t="s">
        <v>61</v>
      </c>
      <c r="L14" t="s">
        <v>62</v>
      </c>
      <c r="M14" t="s">
        <v>60</v>
      </c>
      <c r="N14" t="s">
        <v>63</v>
      </c>
      <c r="O14" t="s">
        <v>64</v>
      </c>
      <c r="Q14" t="s">
        <v>41</v>
      </c>
      <c r="R14" t="s">
        <v>45</v>
      </c>
      <c r="S14" t="s">
        <v>61</v>
      </c>
      <c r="T14" t="s">
        <v>62</v>
      </c>
      <c r="U14" t="s">
        <v>60</v>
      </c>
      <c r="V14" t="s">
        <v>63</v>
      </c>
      <c r="W14" t="s">
        <v>64</v>
      </c>
      <c r="Y14" t="s">
        <v>41</v>
      </c>
      <c r="Z14" t="s">
        <v>45</v>
      </c>
      <c r="AA14" t="s">
        <v>61</v>
      </c>
      <c r="AB14" t="s">
        <v>62</v>
      </c>
      <c r="AC14" t="s">
        <v>60</v>
      </c>
      <c r="AD14" t="s">
        <v>63</v>
      </c>
      <c r="AE14" t="s">
        <v>64</v>
      </c>
      <c r="AG14" t="s">
        <v>41</v>
      </c>
      <c r="AH14" t="s">
        <v>45</v>
      </c>
      <c r="AI14" t="s">
        <v>61</v>
      </c>
      <c r="AJ14" t="s">
        <v>62</v>
      </c>
      <c r="AK14" t="s">
        <v>60</v>
      </c>
      <c r="AL14" t="s">
        <v>63</v>
      </c>
      <c r="AM14" t="s">
        <v>64</v>
      </c>
      <c r="BF14" s="23" t="s">
        <v>45</v>
      </c>
      <c r="BJ14" s="4"/>
      <c r="BK14" s="5"/>
      <c r="BL14" t="str">
        <f t="shared" si="0"/>
        <v/>
      </c>
      <c r="BM14" s="4"/>
      <c r="BN14" s="5"/>
      <c r="BO14" t="str">
        <f t="shared" si="1"/>
        <v/>
      </c>
      <c r="BP14" s="4"/>
      <c r="BQ14" s="5"/>
      <c r="BR14" t="str">
        <f t="shared" si="2"/>
        <v/>
      </c>
    </row>
    <row r="15" spans="1:99" ht="15" thickBot="1" x14ac:dyDescent="0.35">
      <c r="A15" s="4" t="s">
        <v>113</v>
      </c>
      <c r="B15" t="s">
        <v>10</v>
      </c>
      <c r="C15" s="5">
        <v>0.87027156000000006</v>
      </c>
      <c r="D15" s="5">
        <v>0.92103800000000002</v>
      </c>
      <c r="E15" s="5">
        <v>1.05249481</v>
      </c>
      <c r="F15">
        <f t="shared" ref="F15:F32" si="3">(E15-D15)/D15</f>
        <v>0.14272680388865602</v>
      </c>
      <c r="G15">
        <f t="shared" ref="G15:G32" si="4">(E15-C15)/C15</f>
        <v>0.20938665397729408</v>
      </c>
      <c r="I15" s="4" t="s">
        <v>113</v>
      </c>
      <c r="J15" t="s">
        <v>10</v>
      </c>
      <c r="K15" s="6">
        <v>7.0821930000000002</v>
      </c>
      <c r="L15" s="6">
        <v>8.0342203100000003</v>
      </c>
      <c r="M15" s="6">
        <v>10.264460440000001</v>
      </c>
      <c r="N15">
        <f t="shared" ref="N15:N32" si="5">(M15-L15)/L15</f>
        <v>0.27759260313338363</v>
      </c>
      <c r="O15">
        <f t="shared" ref="O15:O32" si="6">(M15-K15)/K15</f>
        <v>0.44933362307409586</v>
      </c>
      <c r="Q15" s="4" t="s">
        <v>113</v>
      </c>
      <c r="R15" t="s">
        <v>10</v>
      </c>
      <c r="S15" s="6">
        <v>10767</v>
      </c>
      <c r="T15" s="6">
        <v>11534</v>
      </c>
      <c r="U15" s="6">
        <v>13181</v>
      </c>
      <c r="V15">
        <f t="shared" ref="V15:V32" si="7">(U15-T15)/T15</f>
        <v>0.14279521414947113</v>
      </c>
      <c r="W15">
        <f t="shared" ref="W15:W32" si="8">(U15-S15)/S15</f>
        <v>0.2242035850283273</v>
      </c>
      <c r="Y15" s="4" t="s">
        <v>113</v>
      </c>
      <c r="Z15" t="s">
        <v>10</v>
      </c>
      <c r="AA15" s="6">
        <v>15203.3</v>
      </c>
      <c r="AB15" s="6">
        <v>14356.6</v>
      </c>
      <c r="AC15" s="6">
        <v>12841.1</v>
      </c>
      <c r="AD15">
        <f t="shared" ref="AD15:AD32" si="9">(AC15-AB15)/AB15</f>
        <v>-0.10556120529930485</v>
      </c>
      <c r="AE15">
        <f t="shared" ref="AE15:AE32" si="10">(AC15-AA15)/AA15</f>
        <v>-0.15537416218847216</v>
      </c>
      <c r="AG15" s="4" t="s">
        <v>113</v>
      </c>
      <c r="AH15" t="s">
        <v>10</v>
      </c>
      <c r="AI15" s="5">
        <v>12.288164999999999</v>
      </c>
      <c r="AJ15" s="5">
        <v>11.4639376</v>
      </c>
      <c r="AK15" s="5">
        <v>10.25377626</v>
      </c>
      <c r="AL15">
        <f t="shared" ref="AL15:AL32" si="11">(AK15-AJ15)/AJ15</f>
        <v>-0.10556245002589679</v>
      </c>
      <c r="AM15">
        <f t="shared" ref="AM15:AM32" si="12">(AK15-AI15)/AI15</f>
        <v>-0.16555675644003795</v>
      </c>
      <c r="BF15" s="24" t="str">
        <f>'Ratings Dashboard'!R30</f>
        <v>P25-54</v>
      </c>
      <c r="BJ15" s="4"/>
      <c r="BK15" s="5"/>
      <c r="BL15" t="str">
        <f t="shared" si="0"/>
        <v/>
      </c>
      <c r="BM15" s="4"/>
      <c r="BN15" s="5"/>
      <c r="BO15" t="str">
        <f t="shared" si="1"/>
        <v/>
      </c>
      <c r="BP15" s="4"/>
      <c r="BQ15" s="5"/>
      <c r="BR15" t="str">
        <f t="shared" si="2"/>
        <v/>
      </c>
    </row>
    <row r="16" spans="1:99" x14ac:dyDescent="0.3">
      <c r="A16" s="4" t="s">
        <v>114</v>
      </c>
      <c r="B16" t="s">
        <v>10</v>
      </c>
      <c r="C16" s="5">
        <v>0.59731308999999999</v>
      </c>
      <c r="D16" s="5">
        <v>0.83640028</v>
      </c>
      <c r="E16" s="5">
        <v>1.9308793</v>
      </c>
      <c r="F16">
        <f t="shared" si="3"/>
        <v>1.3085588876177805</v>
      </c>
      <c r="G16">
        <f t="shared" si="4"/>
        <v>2.2326083796355443</v>
      </c>
      <c r="I16" s="4" t="s">
        <v>114</v>
      </c>
      <c r="J16" t="s">
        <v>10</v>
      </c>
      <c r="K16" s="6">
        <v>5.3047151599999998</v>
      </c>
      <c r="L16" s="6">
        <v>8.1177537399999995</v>
      </c>
      <c r="M16" s="6">
        <v>18.99379467</v>
      </c>
      <c r="N16">
        <f t="shared" si="5"/>
        <v>1.3397845362576866</v>
      </c>
      <c r="O16">
        <f t="shared" si="6"/>
        <v>2.5805493974911182</v>
      </c>
      <c r="Q16" s="4" t="s">
        <v>114</v>
      </c>
      <c r="R16" t="s">
        <v>10</v>
      </c>
      <c r="S16" s="6">
        <v>7390</v>
      </c>
      <c r="T16" s="6">
        <v>10475</v>
      </c>
      <c r="U16" s="6">
        <v>24181</v>
      </c>
      <c r="V16">
        <f t="shared" si="7"/>
        <v>1.3084486873508354</v>
      </c>
      <c r="W16">
        <f t="shared" si="8"/>
        <v>2.2721244925575101</v>
      </c>
      <c r="Y16" s="4" t="s">
        <v>114</v>
      </c>
      <c r="Z16" t="s">
        <v>10</v>
      </c>
      <c r="AA16" s="6">
        <v>13931.3</v>
      </c>
      <c r="AB16" s="6">
        <v>12903.2</v>
      </c>
      <c r="AC16" s="6">
        <v>12731</v>
      </c>
      <c r="AD16">
        <f t="shared" si="9"/>
        <v>-1.3345526691053438E-2</v>
      </c>
      <c r="AE16">
        <f t="shared" si="10"/>
        <v>-8.6158506384903008E-2</v>
      </c>
      <c r="AG16" s="4" t="s">
        <v>114</v>
      </c>
      <c r="AH16" t="s">
        <v>10</v>
      </c>
      <c r="AI16" s="5">
        <v>11.260040869999999</v>
      </c>
      <c r="AJ16" s="5">
        <v>10.303346319999999</v>
      </c>
      <c r="AK16" s="5">
        <v>10.16584274</v>
      </c>
      <c r="AL16">
        <f t="shared" si="11"/>
        <v>-1.3345526368757335E-2</v>
      </c>
      <c r="AM16">
        <f t="shared" si="12"/>
        <v>-9.7175324906258437E-2</v>
      </c>
      <c r="BJ16" s="4"/>
      <c r="BK16" s="5"/>
      <c r="BL16" t="str">
        <f t="shared" si="0"/>
        <v/>
      </c>
      <c r="BM16" s="4"/>
      <c r="BN16" s="5"/>
      <c r="BO16" t="str">
        <f t="shared" si="1"/>
        <v/>
      </c>
      <c r="BP16" s="4"/>
      <c r="BQ16" s="5"/>
      <c r="BR16" t="str">
        <f t="shared" si="2"/>
        <v/>
      </c>
    </row>
    <row r="17" spans="1:70" x14ac:dyDescent="0.3">
      <c r="A17" s="4" t="s">
        <v>115</v>
      </c>
      <c r="B17" t="s">
        <v>10</v>
      </c>
      <c r="C17" s="5">
        <v>0.18355446</v>
      </c>
      <c r="D17" s="5">
        <v>0.27971040000000003</v>
      </c>
      <c r="E17" s="5">
        <v>0.39824635000000003</v>
      </c>
      <c r="F17">
        <f t="shared" si="3"/>
        <v>0.42378098919453833</v>
      </c>
      <c r="G17">
        <f t="shared" si="4"/>
        <v>1.1696359216768693</v>
      </c>
      <c r="I17" s="4" t="s">
        <v>115</v>
      </c>
      <c r="J17" t="s">
        <v>10</v>
      </c>
      <c r="K17" s="6">
        <v>1.7010726300000001</v>
      </c>
      <c r="L17" s="6">
        <v>12.190296549999999</v>
      </c>
      <c r="M17" s="6">
        <v>12.26941927</v>
      </c>
      <c r="N17">
        <f t="shared" si="5"/>
        <v>6.4906312718045296E-3</v>
      </c>
      <c r="O17">
        <f t="shared" si="6"/>
        <v>6.2127545018462849</v>
      </c>
      <c r="Q17" s="4" t="s">
        <v>115</v>
      </c>
      <c r="R17" t="s">
        <v>10</v>
      </c>
      <c r="S17" s="6">
        <v>2271</v>
      </c>
      <c r="T17" s="6">
        <v>3503</v>
      </c>
      <c r="U17" s="6">
        <v>4987</v>
      </c>
      <c r="V17">
        <f t="shared" si="7"/>
        <v>0.42363688267199545</v>
      </c>
      <c r="W17">
        <f t="shared" si="8"/>
        <v>1.1959489211800969</v>
      </c>
      <c r="Y17" s="4" t="s">
        <v>115</v>
      </c>
      <c r="Z17" t="s">
        <v>10</v>
      </c>
      <c r="AA17" s="6">
        <v>13350.4</v>
      </c>
      <c r="AB17" s="6">
        <v>2873.5</v>
      </c>
      <c r="AC17" s="6">
        <v>4064.9</v>
      </c>
      <c r="AD17">
        <f t="shared" si="9"/>
        <v>0.41461632155907435</v>
      </c>
      <c r="AE17">
        <f t="shared" si="10"/>
        <v>-0.69552223154362414</v>
      </c>
      <c r="AG17" s="4" t="s">
        <v>115</v>
      </c>
      <c r="AH17" t="s">
        <v>10</v>
      </c>
      <c r="AI17" s="5">
        <v>10.790512720000001</v>
      </c>
      <c r="AJ17" s="5">
        <v>2.2945331499999999</v>
      </c>
      <c r="AK17" s="5">
        <v>3.2458451500000001</v>
      </c>
      <c r="AL17">
        <f t="shared" si="11"/>
        <v>0.41459937068244151</v>
      </c>
      <c r="AM17">
        <f t="shared" si="12"/>
        <v>-0.69919453929340258</v>
      </c>
      <c r="BJ17" s="4"/>
      <c r="BK17" s="5"/>
      <c r="BL17" t="str">
        <f t="shared" si="0"/>
        <v/>
      </c>
      <c r="BM17" s="4"/>
      <c r="BN17" s="5"/>
      <c r="BO17" t="str">
        <f t="shared" si="1"/>
        <v/>
      </c>
      <c r="BP17" s="4"/>
      <c r="BQ17" s="5"/>
      <c r="BR17" t="str">
        <f t="shared" si="2"/>
        <v/>
      </c>
    </row>
    <row r="18" spans="1:70" x14ac:dyDescent="0.3">
      <c r="A18" s="4" t="s">
        <v>116</v>
      </c>
      <c r="B18" t="s">
        <v>10</v>
      </c>
      <c r="C18" s="5">
        <v>0.77759741000000004</v>
      </c>
      <c r="D18" s="5">
        <v>0.39824635000000003</v>
      </c>
      <c r="E18" s="5">
        <v>0.52297276000000004</v>
      </c>
      <c r="F18">
        <f t="shared" si="3"/>
        <v>0.31318908509770399</v>
      </c>
      <c r="G18">
        <f t="shared" si="4"/>
        <v>-0.3274504862355444</v>
      </c>
      <c r="I18" s="4" t="s">
        <v>116</v>
      </c>
      <c r="J18" t="s">
        <v>10</v>
      </c>
      <c r="K18" s="6">
        <v>5.9119593200000002</v>
      </c>
      <c r="L18" s="6">
        <v>12.26941927</v>
      </c>
      <c r="M18" s="6">
        <v>4.8928792000000003</v>
      </c>
      <c r="N18">
        <f t="shared" si="5"/>
        <v>-0.60121346476735082</v>
      </c>
      <c r="O18">
        <f t="shared" si="6"/>
        <v>-0.17237603725595321</v>
      </c>
      <c r="Q18" s="4" t="s">
        <v>116</v>
      </c>
      <c r="R18" t="s">
        <v>10</v>
      </c>
      <c r="S18" s="6">
        <v>9621</v>
      </c>
      <c r="T18" s="6">
        <v>4987</v>
      </c>
      <c r="U18" s="6">
        <v>6549</v>
      </c>
      <c r="V18">
        <f t="shared" si="7"/>
        <v>0.31321435732905556</v>
      </c>
      <c r="W18">
        <f t="shared" si="8"/>
        <v>-0.31930152790770189</v>
      </c>
      <c r="Y18" s="4" t="s">
        <v>116</v>
      </c>
      <c r="Z18" t="s">
        <v>10</v>
      </c>
      <c r="AA18" s="6">
        <v>16273.3</v>
      </c>
      <c r="AB18" s="6">
        <v>4064.9</v>
      </c>
      <c r="AC18" s="6">
        <v>13385.5</v>
      </c>
      <c r="AD18">
        <f t="shared" si="9"/>
        <v>2.2929469359639842</v>
      </c>
      <c r="AE18">
        <f t="shared" si="10"/>
        <v>-0.17745632416289256</v>
      </c>
      <c r="AG18" s="4" t="s">
        <v>116</v>
      </c>
      <c r="AH18" t="s">
        <v>10</v>
      </c>
      <c r="AI18" s="5">
        <v>13.152956039999999</v>
      </c>
      <c r="AJ18" s="5">
        <v>3.2458451500000001</v>
      </c>
      <c r="AK18" s="5">
        <v>10.688446190000001</v>
      </c>
      <c r="AL18">
        <f t="shared" si="11"/>
        <v>2.2929624477002548</v>
      </c>
      <c r="AM18">
        <f t="shared" si="12"/>
        <v>-0.18737307739074593</v>
      </c>
      <c r="BE18" s="21"/>
      <c r="BF18" s="21" t="s">
        <v>63</v>
      </c>
      <c r="BH18" t="s">
        <v>64</v>
      </c>
      <c r="BJ18" s="4"/>
      <c r="BK18" s="5"/>
      <c r="BL18" t="str">
        <f t="shared" si="0"/>
        <v/>
      </c>
      <c r="BM18" s="4"/>
      <c r="BN18" s="5"/>
      <c r="BO18" t="str">
        <f t="shared" si="1"/>
        <v/>
      </c>
      <c r="BP18" s="4"/>
      <c r="BQ18" s="5"/>
      <c r="BR18" t="str">
        <f t="shared" si="2"/>
        <v/>
      </c>
    </row>
    <row r="19" spans="1:70" x14ac:dyDescent="0.3">
      <c r="A19" s="4" t="s">
        <v>111</v>
      </c>
      <c r="B19" t="s">
        <v>10</v>
      </c>
      <c r="C19" s="8">
        <v>0.60478405000000002</v>
      </c>
      <c r="D19" s="8">
        <v>0.49163519999999999</v>
      </c>
      <c r="E19" s="8">
        <v>0.27147176000000001</v>
      </c>
      <c r="F19">
        <f t="shared" si="3"/>
        <v>-0.44781870785492983</v>
      </c>
      <c r="G19">
        <f t="shared" si="4"/>
        <v>-0.55112612510200953</v>
      </c>
      <c r="I19" s="4" t="s">
        <v>111</v>
      </c>
      <c r="J19" t="s">
        <v>10</v>
      </c>
      <c r="K19" s="9">
        <v>4.56955811</v>
      </c>
      <c r="L19" s="9">
        <v>4.3088751500000004</v>
      </c>
      <c r="M19" s="9">
        <v>2.5398617799999998</v>
      </c>
      <c r="N19">
        <f t="shared" si="5"/>
        <v>-0.41055108547296859</v>
      </c>
      <c r="O19">
        <f t="shared" si="6"/>
        <v>-0.44417781350853641</v>
      </c>
      <c r="Q19" s="4" t="s">
        <v>111</v>
      </c>
      <c r="R19" t="s">
        <v>10</v>
      </c>
      <c r="S19" s="9">
        <v>7483</v>
      </c>
      <c r="T19" s="9">
        <v>6157</v>
      </c>
      <c r="U19" s="9">
        <v>3400</v>
      </c>
      <c r="V19">
        <f t="shared" si="7"/>
        <v>-0.44778301120675656</v>
      </c>
      <c r="W19">
        <f t="shared" si="8"/>
        <v>-0.54563677669383936</v>
      </c>
      <c r="Y19" s="4" t="s">
        <v>111</v>
      </c>
      <c r="Z19" t="s">
        <v>10</v>
      </c>
      <c r="AA19" s="9">
        <v>16374.9</v>
      </c>
      <c r="AB19" s="9">
        <v>14288.9</v>
      </c>
      <c r="AC19" s="9">
        <v>13385.5</v>
      </c>
      <c r="AD19">
        <f t="shared" si="9"/>
        <v>-6.3223901070061359E-2</v>
      </c>
      <c r="AE19">
        <f t="shared" si="10"/>
        <v>-0.18255989349553278</v>
      </c>
      <c r="AG19" s="4" t="s">
        <v>111</v>
      </c>
      <c r="AH19" t="s">
        <v>10</v>
      </c>
      <c r="AI19" s="8">
        <v>13.2350665</v>
      </c>
      <c r="AJ19" s="8">
        <v>11.409826949999999</v>
      </c>
      <c r="AK19" s="8">
        <v>10.688446190000001</v>
      </c>
      <c r="AL19">
        <f t="shared" si="11"/>
        <v>-6.322451367240052E-2</v>
      </c>
      <c r="AM19">
        <f t="shared" si="12"/>
        <v>-0.19241462141501139</v>
      </c>
      <c r="BE19" t="str" cm="1">
        <f t="array" ref="BE19:BE59">_xlfn.XLOOKUP(CG35:CG75,CE3:CE34,CE3:CE34)</f>
        <v>ST1 -Program 1</v>
      </c>
      <c r="BF19" cm="1">
        <f t="array" ref="BF19:BF59">_xlfn.XLOOKUP(CG35:CG75,CE3:CE34,CF3:CF34)</f>
        <v>1.1682075539310543E-2</v>
      </c>
      <c r="BG19" t="str" cm="1">
        <f t="array" ref="BG19:BG59">_xlfn.XLOOKUP(CG35:CG75,CH3:CH34,CH3:CH34)</f>
        <v>ST1 -Program 1</v>
      </c>
      <c r="BH19" cm="1">
        <f t="array" ref="BH19:BH59">_xlfn.XLOOKUP(CG35:CG75,CH3:CH34,CI3:CI34)</f>
        <v>-6.5451474417622633E-3</v>
      </c>
      <c r="BL19" t="str">
        <f t="shared" si="0"/>
        <v/>
      </c>
      <c r="BM19" s="4"/>
      <c r="BN19" s="5"/>
      <c r="BO19" t="str">
        <f t="shared" si="1"/>
        <v/>
      </c>
      <c r="BP19" s="4"/>
      <c r="BQ19" s="5"/>
      <c r="BR19" t="str">
        <f t="shared" si="2"/>
        <v/>
      </c>
    </row>
    <row r="20" spans="1:70" x14ac:dyDescent="0.3">
      <c r="A20" s="4" t="s">
        <v>124</v>
      </c>
      <c r="B20" t="s">
        <v>10</v>
      </c>
      <c r="C20" s="5">
        <v>0.50036035000000001</v>
      </c>
      <c r="D20" s="5">
        <v>0.39550779000000003</v>
      </c>
      <c r="E20" s="5">
        <v>0.52996505000000005</v>
      </c>
      <c r="F20">
        <f t="shared" si="3"/>
        <v>0.33996109153753967</v>
      </c>
      <c r="G20">
        <f t="shared" si="4"/>
        <v>5.9166758517136778E-2</v>
      </c>
      <c r="I20" s="4" t="s">
        <v>124</v>
      </c>
      <c r="J20" t="s">
        <v>10</v>
      </c>
      <c r="K20" s="6">
        <v>3.69324393</v>
      </c>
      <c r="L20" s="6">
        <v>3.2165419700000002</v>
      </c>
      <c r="M20" s="6">
        <v>4.7981786399999997</v>
      </c>
      <c r="N20">
        <f t="shared" si="5"/>
        <v>0.491719581075449</v>
      </c>
      <c r="O20">
        <f t="shared" si="6"/>
        <v>0.29917728992246656</v>
      </c>
      <c r="Q20" s="4" t="s">
        <v>124</v>
      </c>
      <c r="R20" t="s">
        <v>10</v>
      </c>
      <c r="S20" s="6">
        <v>6191</v>
      </c>
      <c r="T20" s="6">
        <v>4953</v>
      </c>
      <c r="U20" s="6">
        <v>6637</v>
      </c>
      <c r="V20">
        <f t="shared" si="7"/>
        <v>0.33999596204320615</v>
      </c>
      <c r="W20">
        <f t="shared" si="8"/>
        <v>7.2040058148925862E-2</v>
      </c>
      <c r="Y20" s="4" t="s">
        <v>124</v>
      </c>
      <c r="Z20" t="s">
        <v>10</v>
      </c>
      <c r="AA20" s="6">
        <v>16762</v>
      </c>
      <c r="AB20" s="6">
        <v>15398.7</v>
      </c>
      <c r="AC20" s="6">
        <v>13832.2</v>
      </c>
      <c r="AD20">
        <f t="shared" si="9"/>
        <v>-0.10172936676472689</v>
      </c>
      <c r="AE20">
        <f t="shared" si="10"/>
        <v>-0.17478821143061682</v>
      </c>
      <c r="AG20" s="4" t="s">
        <v>124</v>
      </c>
      <c r="AH20" t="s">
        <v>10</v>
      </c>
      <c r="AI20" s="5">
        <v>13.54799075</v>
      </c>
      <c r="AJ20" s="5">
        <v>12.29605565</v>
      </c>
      <c r="AK20" s="5">
        <v>11.045129709999999</v>
      </c>
      <c r="AL20">
        <f t="shared" si="11"/>
        <v>-0.10173391985258298</v>
      </c>
      <c r="AM20">
        <f t="shared" si="12"/>
        <v>-0.18474038594985023</v>
      </c>
      <c r="BE20" t="str">
        <v>ST1 -Program 2</v>
      </c>
      <c r="BF20">
        <v>1.755618901436246</v>
      </c>
      <c r="BG20" t="str">
        <v>ST1 -Program 2</v>
      </c>
      <c r="BH20">
        <v>1.289905247813411</v>
      </c>
      <c r="BL20" t="str">
        <f t="shared" si="0"/>
        <v/>
      </c>
      <c r="BM20" s="4"/>
      <c r="BN20" s="5"/>
      <c r="BO20" t="str">
        <f t="shared" si="1"/>
        <v/>
      </c>
      <c r="BP20" s="4"/>
      <c r="BQ20" s="5"/>
      <c r="BR20" t="str">
        <f t="shared" si="2"/>
        <v/>
      </c>
    </row>
    <row r="21" spans="1:70" x14ac:dyDescent="0.3">
      <c r="A21" s="4" t="s">
        <v>113</v>
      </c>
      <c r="B21" t="s">
        <v>11</v>
      </c>
      <c r="C21" s="5">
        <v>1.25590559</v>
      </c>
      <c r="D21" s="5">
        <v>1.2195798200000001</v>
      </c>
      <c r="E21" s="5">
        <v>1.2338538100000001</v>
      </c>
      <c r="F21">
        <f t="shared" si="3"/>
        <v>1.1704022783846945E-2</v>
      </c>
      <c r="G21">
        <f t="shared" si="4"/>
        <v>-1.7558469502472685E-2</v>
      </c>
      <c r="I21" s="4" t="s">
        <v>113</v>
      </c>
      <c r="J21" t="s">
        <v>11</v>
      </c>
      <c r="K21" s="6">
        <v>7.97643507</v>
      </c>
      <c r="L21" s="6">
        <v>8.3779551800000007</v>
      </c>
      <c r="M21" s="6">
        <v>9.3244789499999996</v>
      </c>
      <c r="N21">
        <f t="shared" si="5"/>
        <v>0.11297789850434588</v>
      </c>
      <c r="O21">
        <f t="shared" si="6"/>
        <v>0.16900330387820728</v>
      </c>
      <c r="Q21" s="4" t="s">
        <v>113</v>
      </c>
      <c r="R21" t="s">
        <v>11</v>
      </c>
      <c r="S21" s="6">
        <v>14209</v>
      </c>
      <c r="T21" s="6">
        <v>13953</v>
      </c>
      <c r="U21" s="6">
        <v>14116</v>
      </c>
      <c r="V21">
        <f t="shared" si="7"/>
        <v>1.1682075539310543E-2</v>
      </c>
      <c r="W21">
        <f t="shared" si="8"/>
        <v>-6.5451474417622633E-3</v>
      </c>
      <c r="Y21" s="4" t="s">
        <v>113</v>
      </c>
      <c r="Z21" t="s">
        <v>11</v>
      </c>
      <c r="AA21" s="6">
        <v>17813.5</v>
      </c>
      <c r="AB21" s="6">
        <v>16654.400000000001</v>
      </c>
      <c r="AC21" s="6">
        <v>15138.9</v>
      </c>
      <c r="AD21">
        <f t="shared" si="9"/>
        <v>-9.0996973772696804E-2</v>
      </c>
      <c r="AE21">
        <f t="shared" si="10"/>
        <v>-0.15014455328823648</v>
      </c>
      <c r="AG21" s="4" t="s">
        <v>113</v>
      </c>
      <c r="AH21" t="s">
        <v>11</v>
      </c>
      <c r="AI21" s="5">
        <v>15.745199230000001</v>
      </c>
      <c r="AJ21" s="5">
        <v>14.55701058</v>
      </c>
      <c r="AK21" s="5">
        <v>13.232415639999999</v>
      </c>
      <c r="AL21">
        <f t="shared" si="11"/>
        <v>-9.0993609760775543E-2</v>
      </c>
      <c r="AM21">
        <f t="shared" si="12"/>
        <v>-0.15959046013290754</v>
      </c>
      <c r="BE21" t="str">
        <v>ST2 - Program 1</v>
      </c>
      <c r="BF21">
        <v>0.3587671490321368</v>
      </c>
      <c r="BG21" t="str">
        <v>ST2 - Program 1</v>
      </c>
      <c r="BH21">
        <v>1.5130344108446299</v>
      </c>
      <c r="BL21" t="str">
        <f t="shared" si="0"/>
        <v/>
      </c>
      <c r="BM21" s="4"/>
      <c r="BN21" s="5"/>
      <c r="BO21" t="str">
        <f t="shared" si="1"/>
        <v/>
      </c>
      <c r="BP21" s="4"/>
      <c r="BQ21" s="5"/>
      <c r="BR21" t="str">
        <f t="shared" si="2"/>
        <v/>
      </c>
    </row>
    <row r="22" spans="1:70" x14ac:dyDescent="0.3">
      <c r="A22" s="4" t="s">
        <v>114</v>
      </c>
      <c r="B22" t="s">
        <v>11</v>
      </c>
      <c r="C22" s="5">
        <v>0.97012949000000004</v>
      </c>
      <c r="D22" s="5">
        <v>0.79723584999999997</v>
      </c>
      <c r="E22" s="5">
        <v>2.19684072</v>
      </c>
      <c r="F22">
        <f t="shared" si="3"/>
        <v>1.7555719176451989</v>
      </c>
      <c r="G22">
        <f t="shared" si="4"/>
        <v>1.2644819507548417</v>
      </c>
      <c r="I22" s="4" t="s">
        <v>114</v>
      </c>
      <c r="J22" t="s">
        <v>11</v>
      </c>
      <c r="K22" s="6">
        <v>6.6764331700000001</v>
      </c>
      <c r="L22" s="6">
        <v>6.0071788499999998</v>
      </c>
      <c r="M22" s="6">
        <v>16.415215809999999</v>
      </c>
      <c r="N22">
        <f t="shared" si="5"/>
        <v>1.7325998143038477</v>
      </c>
      <c r="O22">
        <f t="shared" si="6"/>
        <v>1.4586804648566565</v>
      </c>
      <c r="Q22" s="4" t="s">
        <v>114</v>
      </c>
      <c r="R22" t="s">
        <v>11</v>
      </c>
      <c r="S22" s="6">
        <v>10976</v>
      </c>
      <c r="T22" s="6">
        <v>9121</v>
      </c>
      <c r="U22" s="6">
        <v>25134</v>
      </c>
      <c r="V22">
        <f t="shared" si="7"/>
        <v>1.755618901436246</v>
      </c>
      <c r="W22">
        <f t="shared" si="8"/>
        <v>1.289905247813411</v>
      </c>
      <c r="Y22" s="4" t="s">
        <v>114</v>
      </c>
      <c r="Z22" t="s">
        <v>11</v>
      </c>
      <c r="AA22" s="6">
        <v>16439.400000000001</v>
      </c>
      <c r="AB22" s="6">
        <v>15183.5</v>
      </c>
      <c r="AC22" s="6">
        <v>15311.1</v>
      </c>
      <c r="AD22">
        <f t="shared" si="9"/>
        <v>8.4038594526953843E-3</v>
      </c>
      <c r="AE22">
        <f t="shared" si="10"/>
        <v>-6.8633891747874071E-2</v>
      </c>
      <c r="AG22" s="4" t="s">
        <v>114</v>
      </c>
      <c r="AH22" t="s">
        <v>11</v>
      </c>
      <c r="AI22" s="5">
        <v>14.53065526</v>
      </c>
      <c r="AJ22" s="5">
        <v>13.27138534</v>
      </c>
      <c r="AK22" s="5">
        <v>13.38295366</v>
      </c>
      <c r="AL22">
        <f t="shared" si="11"/>
        <v>8.4066822823486743E-3</v>
      </c>
      <c r="AM22">
        <f t="shared" si="12"/>
        <v>-7.8984848202915764E-2</v>
      </c>
      <c r="BE22" t="str">
        <v>ST3 - Program 1</v>
      </c>
      <c r="BF22">
        <v>0.31217150760719226</v>
      </c>
      <c r="BG22" t="str">
        <v>ST3 - Program 1</v>
      </c>
      <c r="BH22">
        <v>-0.22026793786471605</v>
      </c>
      <c r="BL22" t="str">
        <f t="shared" si="0"/>
        <v/>
      </c>
      <c r="BM22" s="4"/>
      <c r="BN22" s="5"/>
      <c r="BO22" t="str">
        <f t="shared" si="1"/>
        <v/>
      </c>
      <c r="BP22" s="4"/>
      <c r="BQ22" s="5"/>
      <c r="BR22" t="str">
        <f t="shared" si="2"/>
        <v/>
      </c>
    </row>
    <row r="23" spans="1:70" x14ac:dyDescent="0.3">
      <c r="A23" s="4" t="s">
        <v>115</v>
      </c>
      <c r="B23" t="s">
        <v>11</v>
      </c>
      <c r="C23" s="5">
        <v>0.25429549000000001</v>
      </c>
      <c r="D23" s="5">
        <v>0.46504915000000002</v>
      </c>
      <c r="E23" s="5">
        <v>0.63195210000000002</v>
      </c>
      <c r="F23">
        <f t="shared" si="3"/>
        <v>0.35889314064975708</v>
      </c>
      <c r="G23">
        <f t="shared" si="4"/>
        <v>1.4851093505433384</v>
      </c>
      <c r="I23" s="4" t="s">
        <v>115</v>
      </c>
      <c r="J23" t="s">
        <v>11</v>
      </c>
      <c r="K23" s="6">
        <v>1.6869447900000001</v>
      </c>
      <c r="L23" s="6">
        <v>15.325306579999999</v>
      </c>
      <c r="M23" s="6">
        <v>14.68372349</v>
      </c>
      <c r="N23">
        <f t="shared" si="5"/>
        <v>-4.1864290717504152E-2</v>
      </c>
      <c r="O23">
        <f t="shared" si="6"/>
        <v>7.7043296123520433</v>
      </c>
      <c r="Q23" s="4" t="s">
        <v>115</v>
      </c>
      <c r="R23" t="s">
        <v>11</v>
      </c>
      <c r="S23" s="6">
        <v>2877</v>
      </c>
      <c r="T23" s="6">
        <v>5321</v>
      </c>
      <c r="U23" s="6">
        <v>7230</v>
      </c>
      <c r="V23">
        <f t="shared" si="7"/>
        <v>0.3587671490321368</v>
      </c>
      <c r="W23">
        <f t="shared" si="8"/>
        <v>1.5130344108446299</v>
      </c>
      <c r="Y23" s="4" t="s">
        <v>115</v>
      </c>
      <c r="Z23" t="s">
        <v>11</v>
      </c>
      <c r="AA23" s="6">
        <v>17054.5</v>
      </c>
      <c r="AB23" s="6">
        <v>3471.7</v>
      </c>
      <c r="AC23" s="6">
        <v>4923.8</v>
      </c>
      <c r="AD23">
        <f t="shared" si="9"/>
        <v>0.41826770746320258</v>
      </c>
      <c r="AE23">
        <f t="shared" si="10"/>
        <v>-0.71129027529391076</v>
      </c>
      <c r="AG23" s="4" t="s">
        <v>115</v>
      </c>
      <c r="AH23" t="s">
        <v>11</v>
      </c>
      <c r="AI23" s="5">
        <v>15.07432199</v>
      </c>
      <c r="AJ23" s="5">
        <v>3.03451775</v>
      </c>
      <c r="AK23" s="5">
        <v>4.3037592299999998</v>
      </c>
      <c r="AL23">
        <f t="shared" si="11"/>
        <v>0.41826793730239337</v>
      </c>
      <c r="AM23">
        <f t="shared" si="12"/>
        <v>-0.71449732645653807</v>
      </c>
      <c r="BE23" t="str">
        <v>ST4 - Program 1</v>
      </c>
      <c r="BF23">
        <v>-8.1044267877412035E-2</v>
      </c>
      <c r="BG23" t="str">
        <v>ST4 - Program 1</v>
      </c>
      <c r="BH23">
        <v>-0.15833246699241085</v>
      </c>
      <c r="BM23" s="4"/>
      <c r="BN23" s="5"/>
      <c r="BO23" t="str">
        <f t="shared" si="1"/>
        <v/>
      </c>
      <c r="BP23" s="4"/>
      <c r="BQ23" s="5"/>
      <c r="BR23" t="str">
        <f t="shared" si="2"/>
        <v/>
      </c>
    </row>
    <row r="24" spans="1:70" x14ac:dyDescent="0.3">
      <c r="A24" s="4" t="s">
        <v>116</v>
      </c>
      <c r="B24" t="s">
        <v>11</v>
      </c>
      <c r="C24" s="5">
        <v>1.07540236</v>
      </c>
      <c r="D24" s="5">
        <v>0.63195210000000002</v>
      </c>
      <c r="E24" s="5">
        <v>0.82918952999999995</v>
      </c>
      <c r="F24">
        <f t="shared" si="3"/>
        <v>0.3121081961749948</v>
      </c>
      <c r="G24">
        <f t="shared" si="4"/>
        <v>-0.22894949756294011</v>
      </c>
      <c r="I24" s="4" t="s">
        <v>116</v>
      </c>
      <c r="J24" t="s">
        <v>11</v>
      </c>
      <c r="K24" s="6">
        <v>6.4371375300000002</v>
      </c>
      <c r="L24" s="6">
        <v>14.68372349</v>
      </c>
      <c r="M24" s="6">
        <v>6.0494991300000001</v>
      </c>
      <c r="N24">
        <f t="shared" si="5"/>
        <v>-0.58801327646084689</v>
      </c>
      <c r="O24">
        <f t="shared" si="6"/>
        <v>-6.0219064482221828E-2</v>
      </c>
      <c r="Q24" s="4" t="s">
        <v>116</v>
      </c>
      <c r="R24" t="s">
        <v>11</v>
      </c>
      <c r="S24" s="6">
        <v>12167</v>
      </c>
      <c r="T24" s="6">
        <v>7230</v>
      </c>
      <c r="U24" s="6">
        <v>9487</v>
      </c>
      <c r="V24">
        <f t="shared" si="7"/>
        <v>0.31217150760719226</v>
      </c>
      <c r="W24">
        <f t="shared" si="8"/>
        <v>-0.22026793786471605</v>
      </c>
      <c r="Y24" s="4" t="s">
        <v>116</v>
      </c>
      <c r="Z24" t="s">
        <v>11</v>
      </c>
      <c r="AA24" s="6">
        <v>18900.8</v>
      </c>
      <c r="AB24" s="6">
        <v>4923.8</v>
      </c>
      <c r="AC24" s="6">
        <v>15681.6</v>
      </c>
      <c r="AD24">
        <f t="shared" si="9"/>
        <v>2.1848572240952109</v>
      </c>
      <c r="AE24">
        <f t="shared" si="10"/>
        <v>-0.17032083298061454</v>
      </c>
      <c r="AG24" s="4" t="s">
        <v>116</v>
      </c>
      <c r="AH24" t="s">
        <v>11</v>
      </c>
      <c r="AI24" s="5">
        <v>16.706220080000001</v>
      </c>
      <c r="AJ24" s="5">
        <v>4.3037592299999998</v>
      </c>
      <c r="AK24" s="5">
        <v>13.70674683</v>
      </c>
      <c r="AL24">
        <f t="shared" si="11"/>
        <v>2.1848312364816</v>
      </c>
      <c r="AM24">
        <f t="shared" si="12"/>
        <v>-0.17954230434153368</v>
      </c>
      <c r="BE24" t="str">
        <v>ST5 - Program 1</v>
      </c>
      <c r="BF24">
        <v>0.28194935217903416</v>
      </c>
      <c r="BG24" t="str">
        <v>ST5 - Program 1</v>
      </c>
      <c r="BH24">
        <v>-2.7150837988826816E-2</v>
      </c>
      <c r="BM24" s="4"/>
      <c r="BN24" s="5"/>
      <c r="BO24" t="str">
        <f t="shared" si="1"/>
        <v/>
      </c>
      <c r="BP24" s="4"/>
      <c r="BQ24" s="5"/>
      <c r="BR24" t="str">
        <f t="shared" si="2"/>
        <v/>
      </c>
    </row>
    <row r="25" spans="1:70" x14ac:dyDescent="0.3">
      <c r="A25" s="4" t="s">
        <v>111</v>
      </c>
      <c r="B25" t="s">
        <v>11</v>
      </c>
      <c r="C25" s="8">
        <v>0.85023039</v>
      </c>
      <c r="D25" s="8">
        <v>0.77006332</v>
      </c>
      <c r="E25" s="8">
        <v>0.70762221000000003</v>
      </c>
      <c r="F25">
        <f t="shared" si="3"/>
        <v>-8.1085682668277162E-2</v>
      </c>
      <c r="G25">
        <f t="shared" si="4"/>
        <v>-0.16772886699568568</v>
      </c>
      <c r="I25" s="4" t="s">
        <v>111</v>
      </c>
      <c r="J25" t="s">
        <v>11</v>
      </c>
      <c r="K25" s="9">
        <v>5.0701741699999996</v>
      </c>
      <c r="L25" s="9">
        <v>5.3173431000000004</v>
      </c>
      <c r="M25" s="9">
        <v>5.1625831900000003</v>
      </c>
      <c r="N25">
        <f t="shared" si="5"/>
        <v>-2.9104744059114805E-2</v>
      </c>
      <c r="O25">
        <f t="shared" si="6"/>
        <v>1.822600504471442E-2</v>
      </c>
      <c r="Q25" s="4" t="s">
        <v>111</v>
      </c>
      <c r="R25" t="s">
        <v>11</v>
      </c>
      <c r="S25" s="9">
        <v>9619</v>
      </c>
      <c r="T25" s="9">
        <v>8810</v>
      </c>
      <c r="U25" s="9">
        <v>8096</v>
      </c>
      <c r="V25">
        <f t="shared" si="7"/>
        <v>-8.1044267877412035E-2</v>
      </c>
      <c r="W25">
        <f t="shared" si="8"/>
        <v>-0.15833246699241085</v>
      </c>
      <c r="Y25" s="4" t="s">
        <v>111</v>
      </c>
      <c r="Z25" t="s">
        <v>11</v>
      </c>
      <c r="AA25" s="9">
        <v>18972.099999999999</v>
      </c>
      <c r="AB25" s="9">
        <v>16568.7</v>
      </c>
      <c r="AC25" s="9">
        <v>15681.6</v>
      </c>
      <c r="AD25">
        <f t="shared" si="9"/>
        <v>-5.3540712306940214E-2</v>
      </c>
      <c r="AE25">
        <f t="shared" si="10"/>
        <v>-0.17343889184644812</v>
      </c>
      <c r="AG25" s="4" t="s">
        <v>111</v>
      </c>
      <c r="AH25" t="s">
        <v>11</v>
      </c>
      <c r="AI25" s="8">
        <v>16.769254020000002</v>
      </c>
      <c r="AJ25" s="8">
        <v>14.48210699</v>
      </c>
      <c r="AK25" s="8">
        <v>13.70674683</v>
      </c>
      <c r="AL25">
        <f t="shared" si="11"/>
        <v>-5.3539181870109906E-2</v>
      </c>
      <c r="AM25">
        <f t="shared" si="12"/>
        <v>-0.18262632233654966</v>
      </c>
      <c r="BE25">
        <v>0</v>
      </c>
      <c r="BF25">
        <v>0</v>
      </c>
      <c r="BG25">
        <v>0</v>
      </c>
      <c r="BH25">
        <v>0</v>
      </c>
      <c r="BM25" s="4"/>
      <c r="BN25" s="5"/>
      <c r="BP25" s="4"/>
      <c r="BQ25" s="5"/>
    </row>
    <row r="26" spans="1:70" x14ac:dyDescent="0.3">
      <c r="A26" s="4" t="s">
        <v>124</v>
      </c>
      <c r="B26" t="s">
        <v>11</v>
      </c>
      <c r="C26" s="5">
        <v>0.79110175000000005</v>
      </c>
      <c r="D26" s="5">
        <v>0.59369203999999998</v>
      </c>
      <c r="E26" s="5">
        <v>0.76104950999999998</v>
      </c>
      <c r="F26">
        <f t="shared" si="3"/>
        <v>0.28189273010970473</v>
      </c>
      <c r="G26">
        <f t="shared" si="4"/>
        <v>-3.7987831527360495E-2</v>
      </c>
      <c r="I26" s="4" t="s">
        <v>124</v>
      </c>
      <c r="J26" t="s">
        <v>11</v>
      </c>
      <c r="K26" s="6">
        <v>4.5628903599999999</v>
      </c>
      <c r="L26" s="6">
        <v>3.8299142800000001</v>
      </c>
      <c r="M26" s="6">
        <v>5.3818638500000002</v>
      </c>
      <c r="N26">
        <f t="shared" si="5"/>
        <v>0.40521783427487051</v>
      </c>
      <c r="O26">
        <f t="shared" si="6"/>
        <v>0.17948568240416812</v>
      </c>
      <c r="Q26" s="4" t="s">
        <v>124</v>
      </c>
      <c r="R26" t="s">
        <v>11</v>
      </c>
      <c r="S26" s="6">
        <v>8950</v>
      </c>
      <c r="T26" s="6">
        <v>6792</v>
      </c>
      <c r="U26" s="6">
        <v>8707</v>
      </c>
      <c r="V26">
        <f t="shared" si="7"/>
        <v>0.28194935217903416</v>
      </c>
      <c r="W26">
        <f t="shared" si="8"/>
        <v>-2.7150837988826816E-2</v>
      </c>
      <c r="Y26" s="4" t="s">
        <v>124</v>
      </c>
      <c r="Z26" t="s">
        <v>11</v>
      </c>
      <c r="AA26" s="6">
        <v>19615.2</v>
      </c>
      <c r="AB26" s="6">
        <v>17734.900000000001</v>
      </c>
      <c r="AC26" s="6">
        <v>16178.4</v>
      </c>
      <c r="AD26">
        <f t="shared" si="9"/>
        <v>-8.7764802733593175E-2</v>
      </c>
      <c r="AE26">
        <f t="shared" si="10"/>
        <v>-0.17521106080998414</v>
      </c>
      <c r="AG26" s="4" t="s">
        <v>124</v>
      </c>
      <c r="AH26" t="s">
        <v>11</v>
      </c>
      <c r="AI26" s="5">
        <v>17.337733050000001</v>
      </c>
      <c r="AJ26" s="5">
        <v>15.50144454</v>
      </c>
      <c r="AK26" s="5">
        <v>14.14100262</v>
      </c>
      <c r="AL26">
        <f t="shared" si="11"/>
        <v>-8.776226734802095E-2</v>
      </c>
      <c r="AM26">
        <f t="shared" si="12"/>
        <v>-0.1843799544485431</v>
      </c>
      <c r="BE26">
        <v>0</v>
      </c>
      <c r="BF26">
        <v>0</v>
      </c>
      <c r="BG26">
        <v>0</v>
      </c>
      <c r="BH26">
        <v>0</v>
      </c>
      <c r="BM26" s="4"/>
      <c r="BN26" s="5"/>
      <c r="BP26" s="4"/>
      <c r="BQ26" s="5"/>
    </row>
    <row r="27" spans="1:70" x14ac:dyDescent="0.3">
      <c r="A27" s="4" t="s">
        <v>113</v>
      </c>
      <c r="B27" t="s">
        <v>12</v>
      </c>
      <c r="C27" s="5">
        <v>1.21136267</v>
      </c>
      <c r="D27" s="5">
        <v>1.2787318000000001</v>
      </c>
      <c r="E27" s="5">
        <v>1.1135021899999999</v>
      </c>
      <c r="F27">
        <f t="shared" si="3"/>
        <v>-0.12921365527939488</v>
      </c>
      <c r="G27">
        <f t="shared" si="4"/>
        <v>-8.0785451313271875E-2</v>
      </c>
      <c r="I27" s="4" t="s">
        <v>113</v>
      </c>
      <c r="J27" t="s">
        <v>12</v>
      </c>
      <c r="K27" s="6">
        <v>7.6605060700000003</v>
      </c>
      <c r="L27" s="6">
        <v>8.9754884700000002</v>
      </c>
      <c r="M27" s="6">
        <v>8.3945884</v>
      </c>
      <c r="N27">
        <f t="shared" si="5"/>
        <v>-6.472071931701788E-2</v>
      </c>
      <c r="O27">
        <f t="shared" si="6"/>
        <v>9.5826871396239188E-2</v>
      </c>
      <c r="Q27" s="4" t="s">
        <v>113</v>
      </c>
      <c r="R27" t="s">
        <v>12</v>
      </c>
      <c r="S27" s="6">
        <v>6898</v>
      </c>
      <c r="T27" s="6">
        <v>7358</v>
      </c>
      <c r="U27" s="6">
        <v>6407</v>
      </c>
      <c r="V27">
        <f t="shared" si="7"/>
        <v>-0.12924707801032889</v>
      </c>
      <c r="W27">
        <f t="shared" si="8"/>
        <v>-7.1180052189040305E-2</v>
      </c>
      <c r="Y27" s="4" t="s">
        <v>113</v>
      </c>
      <c r="Z27" t="s">
        <v>12</v>
      </c>
      <c r="AA27" s="6">
        <v>9004.4</v>
      </c>
      <c r="AB27" s="6">
        <v>8197.7000000000007</v>
      </c>
      <c r="AC27" s="6">
        <v>7632.4</v>
      </c>
      <c r="AD27">
        <f t="shared" si="9"/>
        <v>-6.895836637105543E-2</v>
      </c>
      <c r="AE27">
        <f t="shared" si="10"/>
        <v>-0.15236995246768248</v>
      </c>
      <c r="AG27" s="4" t="s">
        <v>113</v>
      </c>
      <c r="AH27" t="s">
        <v>12</v>
      </c>
      <c r="AI27" s="5">
        <v>15.8130893</v>
      </c>
      <c r="AJ27" s="5">
        <v>14.24693263</v>
      </c>
      <c r="AK27" s="5">
        <v>13.264523949999999</v>
      </c>
      <c r="AL27">
        <f t="shared" si="11"/>
        <v>-6.8955803014841707E-2</v>
      </c>
      <c r="AM27">
        <f t="shared" si="12"/>
        <v>-0.16116808687091905</v>
      </c>
      <c r="BE27">
        <v>0</v>
      </c>
      <c r="BF27">
        <v>0</v>
      </c>
      <c r="BG27">
        <v>0</v>
      </c>
      <c r="BH27">
        <v>0</v>
      </c>
      <c r="BM27" s="4"/>
      <c r="BN27" s="5"/>
      <c r="BP27" s="4"/>
      <c r="BQ27" s="5"/>
    </row>
    <row r="28" spans="1:70" x14ac:dyDescent="0.3">
      <c r="A28" s="4" t="s">
        <v>114</v>
      </c>
      <c r="B28" t="s">
        <v>12</v>
      </c>
      <c r="C28" s="5">
        <v>0.85682625000000001</v>
      </c>
      <c r="D28" s="5">
        <v>0.90119446999999997</v>
      </c>
      <c r="E28" s="5">
        <v>1.6623628500000001</v>
      </c>
      <c r="F28">
        <f t="shared" si="3"/>
        <v>0.84462167194612292</v>
      </c>
      <c r="G28">
        <f t="shared" si="4"/>
        <v>0.94013996419927615</v>
      </c>
      <c r="I28" s="4" t="s">
        <v>114</v>
      </c>
      <c r="J28" t="s">
        <v>12</v>
      </c>
      <c r="K28" s="6">
        <v>5.65051141</v>
      </c>
      <c r="L28" s="6">
        <v>6.8561795500000002</v>
      </c>
      <c r="M28" s="6">
        <v>12.593832580000001</v>
      </c>
      <c r="N28">
        <f t="shared" si="5"/>
        <v>0.83685863069324085</v>
      </c>
      <c r="O28">
        <f t="shared" si="6"/>
        <v>1.2287951773200652</v>
      </c>
      <c r="Q28" s="4" t="s">
        <v>114</v>
      </c>
      <c r="R28" t="s">
        <v>12</v>
      </c>
      <c r="S28" s="6">
        <v>4879</v>
      </c>
      <c r="T28" s="6">
        <v>5186</v>
      </c>
      <c r="U28" s="6">
        <v>9565</v>
      </c>
      <c r="V28">
        <f t="shared" si="7"/>
        <v>0.84438873891245658</v>
      </c>
      <c r="W28">
        <f t="shared" si="8"/>
        <v>0.96044271367083422</v>
      </c>
      <c r="Y28" s="4" t="s">
        <v>114</v>
      </c>
      <c r="Z28" t="s">
        <v>12</v>
      </c>
      <c r="AA28" s="6">
        <v>8634.6</v>
      </c>
      <c r="AB28" s="6">
        <v>7563.2</v>
      </c>
      <c r="AC28" s="6">
        <v>7595.2</v>
      </c>
      <c r="AD28">
        <f t="shared" si="9"/>
        <v>4.2310133276919825E-3</v>
      </c>
      <c r="AE28">
        <f t="shared" si="10"/>
        <v>-0.12037616102656759</v>
      </c>
      <c r="AG28" s="4" t="s">
        <v>114</v>
      </c>
      <c r="AH28" t="s">
        <v>12</v>
      </c>
      <c r="AI28" s="5">
        <v>15.163693800000001</v>
      </c>
      <c r="AJ28" s="5">
        <v>13.144265839999999</v>
      </c>
      <c r="AK28" s="5">
        <v>13.199816970000001</v>
      </c>
      <c r="AL28">
        <f t="shared" si="11"/>
        <v>4.2262634274293819E-3</v>
      </c>
      <c r="AM28">
        <f t="shared" si="12"/>
        <v>-0.12951177041045236</v>
      </c>
      <c r="BE28">
        <v>0</v>
      </c>
      <c r="BF28">
        <v>0</v>
      </c>
      <c r="BG28">
        <v>0</v>
      </c>
      <c r="BH28">
        <v>0</v>
      </c>
      <c r="BM28" s="4"/>
      <c r="BN28" s="5"/>
      <c r="BP28" s="4"/>
      <c r="BQ28" s="5"/>
    </row>
    <row r="29" spans="1:70" x14ac:dyDescent="0.3">
      <c r="A29" s="4" t="s">
        <v>115</v>
      </c>
      <c r="B29" t="s">
        <v>12</v>
      </c>
      <c r="C29" s="5">
        <v>0.21021132000000001</v>
      </c>
      <c r="D29" s="5">
        <v>0.59574768</v>
      </c>
      <c r="E29" s="5">
        <v>0.69938374000000003</v>
      </c>
      <c r="F29">
        <f t="shared" si="3"/>
        <v>0.17395965352311574</v>
      </c>
      <c r="G29">
        <f t="shared" si="4"/>
        <v>2.3270507982158146</v>
      </c>
      <c r="I29" s="4" t="s">
        <v>115</v>
      </c>
      <c r="J29" t="s">
        <v>12</v>
      </c>
      <c r="K29" s="6">
        <v>1.4561689499999999</v>
      </c>
      <c r="L29" s="6">
        <v>16.668915640000002</v>
      </c>
      <c r="M29" s="6">
        <v>14.224721280000001</v>
      </c>
      <c r="N29">
        <f t="shared" si="5"/>
        <v>-0.14663187532935409</v>
      </c>
      <c r="O29">
        <f t="shared" si="6"/>
        <v>8.768592634803813</v>
      </c>
      <c r="Q29" s="4" t="s">
        <v>115</v>
      </c>
      <c r="R29" t="s">
        <v>12</v>
      </c>
      <c r="S29" s="6">
        <v>1197</v>
      </c>
      <c r="T29" s="6">
        <v>3428</v>
      </c>
      <c r="U29" s="6">
        <v>4024</v>
      </c>
      <c r="V29">
        <f t="shared" si="7"/>
        <v>0.17386231038506417</v>
      </c>
      <c r="W29">
        <f t="shared" si="8"/>
        <v>2.361737677527151</v>
      </c>
      <c r="Y29" s="4" t="s">
        <v>115</v>
      </c>
      <c r="Z29" t="s">
        <v>12</v>
      </c>
      <c r="AA29" s="6">
        <v>8220.2000000000007</v>
      </c>
      <c r="AB29" s="6">
        <v>2056.5</v>
      </c>
      <c r="AC29" s="6">
        <v>2829.1</v>
      </c>
      <c r="AD29">
        <f t="shared" si="9"/>
        <v>0.37568684658400192</v>
      </c>
      <c r="AE29">
        <f t="shared" si="10"/>
        <v>-0.65583562443736165</v>
      </c>
      <c r="AG29" s="4" t="s">
        <v>115</v>
      </c>
      <c r="AH29" t="s">
        <v>12</v>
      </c>
      <c r="AI29" s="5">
        <v>14.435915400000001</v>
      </c>
      <c r="AJ29" s="5">
        <v>3.5740037899999999</v>
      </c>
      <c r="AK29" s="5">
        <v>4.9166779600000003</v>
      </c>
      <c r="AL29">
        <f t="shared" si="11"/>
        <v>0.37567788085641635</v>
      </c>
      <c r="AM29">
        <f t="shared" si="12"/>
        <v>-0.6594134958701684</v>
      </c>
      <c r="BE29">
        <v>0</v>
      </c>
      <c r="BF29">
        <v>0</v>
      </c>
      <c r="BG29">
        <v>0</v>
      </c>
      <c r="BH29">
        <v>0</v>
      </c>
      <c r="BM29" s="4"/>
      <c r="BN29" s="5"/>
      <c r="BP29" s="4"/>
      <c r="BQ29" s="5"/>
    </row>
    <row r="30" spans="1:70" x14ac:dyDescent="0.3">
      <c r="A30" s="4" t="s">
        <v>116</v>
      </c>
      <c r="B30" t="s">
        <v>12</v>
      </c>
      <c r="C30" s="5">
        <v>1.24185173</v>
      </c>
      <c r="D30" s="5">
        <v>0.69938374000000003</v>
      </c>
      <c r="E30" s="5">
        <v>0.74905326999999999</v>
      </c>
      <c r="F30">
        <f t="shared" si="3"/>
        <v>7.1018994522234619E-2</v>
      </c>
      <c r="G30">
        <f t="shared" si="4"/>
        <v>-0.39682552119164827</v>
      </c>
      <c r="I30" s="4" t="s">
        <v>116</v>
      </c>
      <c r="J30" t="s">
        <v>12</v>
      </c>
      <c r="K30" s="6">
        <v>7.4889053099999998</v>
      </c>
      <c r="L30" s="6">
        <v>14.224721280000001</v>
      </c>
      <c r="M30" s="6">
        <v>5.5068075299999997</v>
      </c>
      <c r="N30">
        <f t="shared" si="5"/>
        <v>-0.61287061998588421</v>
      </c>
      <c r="O30">
        <f t="shared" si="6"/>
        <v>-0.26467123003321835</v>
      </c>
      <c r="Q30" s="4" t="s">
        <v>116</v>
      </c>
      <c r="R30" t="s">
        <v>12</v>
      </c>
      <c r="S30" s="6">
        <v>7071</v>
      </c>
      <c r="T30" s="6">
        <v>4024</v>
      </c>
      <c r="U30" s="6">
        <v>4310</v>
      </c>
      <c r="V30">
        <f t="shared" si="7"/>
        <v>7.1073558648111337E-2</v>
      </c>
      <c r="W30">
        <f t="shared" si="8"/>
        <v>-0.39046810917833402</v>
      </c>
      <c r="Y30" s="4" t="s">
        <v>116</v>
      </c>
      <c r="Z30" t="s">
        <v>12</v>
      </c>
      <c r="AA30" s="6">
        <v>9442.6</v>
      </c>
      <c r="AB30" s="6">
        <v>2829.1</v>
      </c>
      <c r="AC30" s="6">
        <v>7826.8</v>
      </c>
      <c r="AD30">
        <f t="shared" si="9"/>
        <v>1.7665335265632183</v>
      </c>
      <c r="AE30">
        <f t="shared" si="10"/>
        <v>-0.1711181242454409</v>
      </c>
      <c r="AG30" s="4" t="s">
        <v>116</v>
      </c>
      <c r="AH30" t="s">
        <v>12</v>
      </c>
      <c r="AI30" s="5">
        <v>16.582553440000002</v>
      </c>
      <c r="AJ30" s="5">
        <v>4.9166779600000003</v>
      </c>
      <c r="AK30" s="5">
        <v>13.602314379999999</v>
      </c>
      <c r="AL30">
        <f t="shared" si="11"/>
        <v>1.7665660616096153</v>
      </c>
      <c r="AM30">
        <f t="shared" si="12"/>
        <v>-0.17972136021049373</v>
      </c>
      <c r="BE30">
        <v>0</v>
      </c>
      <c r="BF30">
        <v>0</v>
      </c>
      <c r="BG30">
        <v>0</v>
      </c>
      <c r="BH30">
        <v>0</v>
      </c>
      <c r="BM30" s="4"/>
      <c r="BN30" s="4"/>
      <c r="BP30" s="4"/>
      <c r="BQ30" s="4"/>
    </row>
    <row r="31" spans="1:70" x14ac:dyDescent="0.3">
      <c r="A31" s="4" t="s">
        <v>111</v>
      </c>
      <c r="B31" t="s">
        <v>12</v>
      </c>
      <c r="C31" s="8">
        <v>0.79735856999999999</v>
      </c>
      <c r="D31" s="8">
        <v>0.78308593999999998</v>
      </c>
      <c r="E31" s="8">
        <v>0.68766152000000003</v>
      </c>
      <c r="F31">
        <f t="shared" si="3"/>
        <v>-0.12185689351030866</v>
      </c>
      <c r="G31">
        <f t="shared" si="4"/>
        <v>-0.13757555775690725</v>
      </c>
      <c r="I31" s="4" t="s">
        <v>111</v>
      </c>
      <c r="J31" t="s">
        <v>12</v>
      </c>
      <c r="K31" s="9">
        <v>4.7819772299999999</v>
      </c>
      <c r="L31" s="9">
        <v>5.5317676999999996</v>
      </c>
      <c r="M31" s="9">
        <v>5.0554743699999998</v>
      </c>
      <c r="N31">
        <f t="shared" si="5"/>
        <v>-8.6101469879149101E-2</v>
      </c>
      <c r="O31">
        <f t="shared" si="6"/>
        <v>5.7193317083193203E-2</v>
      </c>
      <c r="Q31" s="4" t="s">
        <v>111</v>
      </c>
      <c r="R31" t="s">
        <v>12</v>
      </c>
      <c r="S31" s="9">
        <v>4540</v>
      </c>
      <c r="T31" s="9">
        <v>4506</v>
      </c>
      <c r="U31" s="9">
        <v>3957</v>
      </c>
      <c r="V31">
        <f t="shared" si="7"/>
        <v>-0.12183754993342211</v>
      </c>
      <c r="W31">
        <f t="shared" si="8"/>
        <v>-0.12841409691629957</v>
      </c>
      <c r="Y31" s="4" t="s">
        <v>111</v>
      </c>
      <c r="Z31" t="s">
        <v>12</v>
      </c>
      <c r="AA31" s="9">
        <v>9494.7999999999993</v>
      </c>
      <c r="AB31" s="9">
        <v>8145.5</v>
      </c>
      <c r="AC31" s="9">
        <v>7826.8</v>
      </c>
      <c r="AD31">
        <f t="shared" si="9"/>
        <v>-3.9125897734945653E-2</v>
      </c>
      <c r="AE31">
        <f t="shared" si="10"/>
        <v>-0.17567510637401518</v>
      </c>
      <c r="AG31" s="4" t="s">
        <v>111</v>
      </c>
      <c r="AH31" t="s">
        <v>12</v>
      </c>
      <c r="AI31" s="8">
        <v>16.674244460000001</v>
      </c>
      <c r="AJ31" s="8">
        <v>14.15616099</v>
      </c>
      <c r="AK31" s="8">
        <v>13.602314379999999</v>
      </c>
      <c r="AL31">
        <f t="shared" si="11"/>
        <v>-3.9124068339660839E-2</v>
      </c>
      <c r="AM31">
        <f t="shared" si="12"/>
        <v>-0.18423204046032088</v>
      </c>
      <c r="BE31">
        <v>0</v>
      </c>
      <c r="BF31">
        <v>0</v>
      </c>
      <c r="BG31">
        <v>0</v>
      </c>
      <c r="BH31">
        <v>0</v>
      </c>
      <c r="BM31" s="4"/>
      <c r="BN31" s="5"/>
      <c r="BP31" s="4"/>
      <c r="BQ31" s="5"/>
    </row>
    <row r="32" spans="1:70" x14ac:dyDescent="0.3">
      <c r="A32" s="4" t="s">
        <v>124</v>
      </c>
      <c r="B32" t="s">
        <v>12</v>
      </c>
      <c r="C32" s="5">
        <v>0.94224838</v>
      </c>
      <c r="D32" s="5">
        <v>0.69766174999999997</v>
      </c>
      <c r="E32" s="5">
        <v>0.91145973999999996</v>
      </c>
      <c r="F32">
        <f t="shared" si="3"/>
        <v>0.30644935027611875</v>
      </c>
      <c r="G32">
        <f t="shared" si="4"/>
        <v>-3.267571550507737E-2</v>
      </c>
      <c r="I32" s="4" t="s">
        <v>124</v>
      </c>
      <c r="J32" t="s">
        <v>12</v>
      </c>
      <c r="K32" s="6">
        <v>5.46570321</v>
      </c>
      <c r="L32" s="6">
        <v>4.5420225099999998</v>
      </c>
      <c r="M32" s="6">
        <v>6.5110062099999997</v>
      </c>
      <c r="N32">
        <f t="shared" si="5"/>
        <v>0.43350373003765674</v>
      </c>
      <c r="O32">
        <f t="shared" si="6"/>
        <v>0.19124766930036063</v>
      </c>
      <c r="Q32" s="4" t="s">
        <v>124</v>
      </c>
      <c r="R32" t="s">
        <v>12</v>
      </c>
      <c r="S32" s="6">
        <v>5365</v>
      </c>
      <c r="T32" s="6">
        <v>4014</v>
      </c>
      <c r="U32" s="6">
        <v>5245</v>
      </c>
      <c r="V32">
        <f t="shared" si="7"/>
        <v>0.30667663178873938</v>
      </c>
      <c r="W32">
        <f t="shared" si="8"/>
        <v>-2.2367194780987885E-2</v>
      </c>
      <c r="Y32" s="4" t="s">
        <v>124</v>
      </c>
      <c r="Z32" t="s">
        <v>12</v>
      </c>
      <c r="AA32" s="6">
        <v>9816.5</v>
      </c>
      <c r="AB32" s="6">
        <v>8838.2999999999993</v>
      </c>
      <c r="AC32" s="6">
        <v>8054.9</v>
      </c>
      <c r="AD32">
        <f t="shared" si="9"/>
        <v>-8.8636955070545212E-2</v>
      </c>
      <c r="AE32">
        <f t="shared" si="10"/>
        <v>-0.17945296184994655</v>
      </c>
      <c r="AG32" s="4" t="s">
        <v>124</v>
      </c>
      <c r="AH32" t="s">
        <v>12</v>
      </c>
      <c r="AI32" s="5">
        <v>17.23928909</v>
      </c>
      <c r="AJ32" s="5">
        <v>15.360156269999999</v>
      </c>
      <c r="AK32" s="5">
        <v>13.99875392</v>
      </c>
      <c r="AL32">
        <f t="shared" si="11"/>
        <v>-8.8632063767408453E-2</v>
      </c>
      <c r="AM32">
        <f t="shared" si="12"/>
        <v>-0.18797382844979019</v>
      </c>
      <c r="BE32">
        <v>0</v>
      </c>
      <c r="BF32">
        <v>0</v>
      </c>
      <c r="BG32">
        <v>0</v>
      </c>
      <c r="BH32">
        <v>0</v>
      </c>
      <c r="BM32" s="4"/>
      <c r="BN32" s="5"/>
      <c r="BP32" s="4"/>
      <c r="BQ32" s="5"/>
    </row>
    <row r="33" spans="1:97" x14ac:dyDescent="0.3">
      <c r="BE33">
        <v>0</v>
      </c>
      <c r="BF33">
        <v>0</v>
      </c>
      <c r="BG33">
        <v>0</v>
      </c>
      <c r="BH33">
        <v>0</v>
      </c>
      <c r="BM33" s="4"/>
      <c r="BN33" s="5"/>
      <c r="BP33" s="4"/>
      <c r="BQ33" s="5"/>
    </row>
    <row r="34" spans="1:97" x14ac:dyDescent="0.3">
      <c r="BE34">
        <v>0</v>
      </c>
      <c r="BF34">
        <v>0</v>
      </c>
      <c r="BG34">
        <v>0</v>
      </c>
      <c r="BH34">
        <v>0</v>
      </c>
      <c r="BM34" s="4"/>
      <c r="BN34" s="5"/>
      <c r="BP34" s="4"/>
      <c r="BQ34" s="5"/>
    </row>
    <row r="35" spans="1:97" x14ac:dyDescent="0.3">
      <c r="A35" s="10" t="s">
        <v>53</v>
      </c>
      <c r="B35" t="s">
        <v>42</v>
      </c>
      <c r="D35" s="10" t="s">
        <v>53</v>
      </c>
      <c r="E35" t="s">
        <v>65</v>
      </c>
      <c r="F35" t="s">
        <v>66</v>
      </c>
      <c r="G35" t="s">
        <v>67</v>
      </c>
      <c r="I35" s="10" t="s">
        <v>53</v>
      </c>
      <c r="J35" t="s">
        <v>52</v>
      </c>
      <c r="L35" s="10" t="s">
        <v>53</v>
      </c>
      <c r="M35" t="s">
        <v>65</v>
      </c>
      <c r="N35" t="s">
        <v>66</v>
      </c>
      <c r="O35" t="s">
        <v>67</v>
      </c>
      <c r="Q35" s="10" t="s">
        <v>53</v>
      </c>
      <c r="R35" t="s">
        <v>57</v>
      </c>
      <c r="T35" s="10" t="s">
        <v>53</v>
      </c>
      <c r="U35" t="s">
        <v>65</v>
      </c>
      <c r="V35" t="s">
        <v>66</v>
      </c>
      <c r="W35" t="s">
        <v>67</v>
      </c>
      <c r="Y35" s="10" t="s">
        <v>53</v>
      </c>
      <c r="Z35" t="s">
        <v>58</v>
      </c>
      <c r="AB35" s="10" t="s">
        <v>53</v>
      </c>
      <c r="AC35" t="s">
        <v>65</v>
      </c>
      <c r="AD35" t="s">
        <v>66</v>
      </c>
      <c r="AE35" t="s">
        <v>67</v>
      </c>
      <c r="AG35" s="10" t="s">
        <v>53</v>
      </c>
      <c r="AH35" t="s">
        <v>59</v>
      </c>
      <c r="AJ35" s="10" t="s">
        <v>53</v>
      </c>
      <c r="AK35" t="s">
        <v>65</v>
      </c>
      <c r="AL35" t="s">
        <v>66</v>
      </c>
      <c r="AM35" t="s">
        <v>67</v>
      </c>
      <c r="BE35">
        <v>0</v>
      </c>
      <c r="BF35">
        <v>0</v>
      </c>
      <c r="BG35">
        <v>0</v>
      </c>
      <c r="BH35">
        <v>0</v>
      </c>
      <c r="BM35" s="4"/>
      <c r="BN35" s="5"/>
      <c r="BP35" s="4"/>
      <c r="BQ35" s="5"/>
      <c r="BU35" s="11" t="s">
        <v>113</v>
      </c>
      <c r="CA35" s="11" t="s">
        <v>113</v>
      </c>
      <c r="CG35" s="11" t="s">
        <v>113</v>
      </c>
      <c r="CM35" s="11" t="s">
        <v>113</v>
      </c>
      <c r="CS35" s="11" t="s">
        <v>113</v>
      </c>
    </row>
    <row r="36" spans="1:97" x14ac:dyDescent="0.3">
      <c r="A36" s="11" t="s">
        <v>12</v>
      </c>
      <c r="B36" s="13">
        <v>5.8234233099999999</v>
      </c>
      <c r="D36" s="11" t="s">
        <v>12</v>
      </c>
      <c r="E36" s="13">
        <v>5.2598589199999992</v>
      </c>
      <c r="F36" s="13">
        <v>4.9558053800000001</v>
      </c>
      <c r="G36" s="13">
        <v>5.8234233099999999</v>
      </c>
      <c r="I36" s="11" t="s">
        <v>12</v>
      </c>
      <c r="J36" s="13">
        <v>52.286430369999998</v>
      </c>
      <c r="L36" s="11" t="s">
        <v>12</v>
      </c>
      <c r="M36" s="13">
        <v>32.503772179999999</v>
      </c>
      <c r="N36" s="13">
        <v>56.799095150000007</v>
      </c>
      <c r="O36" s="13">
        <v>52.286430369999998</v>
      </c>
      <c r="Q36" s="11" t="s">
        <v>12</v>
      </c>
      <c r="R36">
        <v>33508</v>
      </c>
      <c r="T36" s="11" t="s">
        <v>12</v>
      </c>
      <c r="U36">
        <v>29950</v>
      </c>
      <c r="V36">
        <v>28516</v>
      </c>
      <c r="W36">
        <v>33508</v>
      </c>
      <c r="Y36" s="11" t="s">
        <v>12</v>
      </c>
      <c r="Z36">
        <v>41765.199999999997</v>
      </c>
      <c r="AB36" s="11" t="s">
        <v>12</v>
      </c>
      <c r="AC36">
        <v>54613.100000000006</v>
      </c>
      <c r="AD36">
        <v>37630.300000000003</v>
      </c>
      <c r="AE36">
        <v>41765.199999999997</v>
      </c>
      <c r="AG36" s="11" t="s">
        <v>12</v>
      </c>
      <c r="AH36" s="13">
        <v>72.584401559999989</v>
      </c>
      <c r="AJ36" s="11" t="s">
        <v>12</v>
      </c>
      <c r="AK36" s="13">
        <v>95.90878549</v>
      </c>
      <c r="AL36" s="13">
        <v>65.398197480000007</v>
      </c>
      <c r="AM36" s="13">
        <v>72.584401559999989</v>
      </c>
      <c r="BE36">
        <v>0</v>
      </c>
      <c r="BF36">
        <v>0</v>
      </c>
      <c r="BG36">
        <v>0</v>
      </c>
      <c r="BH36">
        <v>0</v>
      </c>
      <c r="BM36" s="4"/>
      <c r="BN36" s="5"/>
      <c r="BP36" s="4"/>
      <c r="BQ36" s="5"/>
      <c r="BU36" s="11" t="s">
        <v>114</v>
      </c>
      <c r="CA36" s="11" t="s">
        <v>114</v>
      </c>
      <c r="CG36" s="11" t="s">
        <v>114</v>
      </c>
      <c r="CM36" s="11" t="s">
        <v>114</v>
      </c>
      <c r="CS36" s="11" t="s">
        <v>114</v>
      </c>
    </row>
    <row r="37" spans="1:97" x14ac:dyDescent="0.3">
      <c r="A37" s="12" t="s">
        <v>111</v>
      </c>
      <c r="B37" s="13">
        <v>0.68766152000000003</v>
      </c>
      <c r="D37" s="12" t="s">
        <v>113</v>
      </c>
      <c r="E37" s="13">
        <v>1.21136267</v>
      </c>
      <c r="F37" s="13">
        <v>1.2787318000000001</v>
      </c>
      <c r="G37" s="13">
        <v>1.1135021899999999</v>
      </c>
      <c r="I37" s="12" t="s">
        <v>111</v>
      </c>
      <c r="J37" s="13">
        <v>5.0554743699999998</v>
      </c>
      <c r="L37" s="12" t="s">
        <v>113</v>
      </c>
      <c r="M37" s="13">
        <v>7.6605060700000003</v>
      </c>
      <c r="N37" s="13">
        <v>8.9754884700000002</v>
      </c>
      <c r="O37" s="13">
        <v>8.3945884</v>
      </c>
      <c r="Q37" s="12" t="s">
        <v>111</v>
      </c>
      <c r="R37">
        <v>3957</v>
      </c>
      <c r="T37" s="12" t="s">
        <v>113</v>
      </c>
      <c r="U37">
        <v>6898</v>
      </c>
      <c r="V37">
        <v>7358</v>
      </c>
      <c r="W37">
        <v>6407</v>
      </c>
      <c r="Y37" s="12" t="s">
        <v>113</v>
      </c>
      <c r="Z37">
        <v>7632.4</v>
      </c>
      <c r="AB37" s="12" t="s">
        <v>113</v>
      </c>
      <c r="AC37">
        <v>9004.4</v>
      </c>
      <c r="AD37">
        <v>8197.7000000000007</v>
      </c>
      <c r="AE37">
        <v>7632.4</v>
      </c>
      <c r="AG37" s="12" t="s">
        <v>113</v>
      </c>
      <c r="AH37" s="13">
        <v>13.264523949999999</v>
      </c>
      <c r="AJ37" s="12" t="s">
        <v>113</v>
      </c>
      <c r="AK37" s="13">
        <v>15.8130893</v>
      </c>
      <c r="AL37" s="13">
        <v>14.24693263</v>
      </c>
      <c r="AM37" s="13">
        <v>13.264523949999999</v>
      </c>
      <c r="BE37">
        <v>0</v>
      </c>
      <c r="BF37">
        <v>0</v>
      </c>
      <c r="BG37">
        <v>0</v>
      </c>
      <c r="BH37">
        <v>0</v>
      </c>
      <c r="BM37" s="4"/>
      <c r="BN37" s="5"/>
      <c r="BP37" s="4"/>
      <c r="BQ37" s="5"/>
      <c r="BU37" s="11" t="s">
        <v>115</v>
      </c>
      <c r="CA37" s="11" t="s">
        <v>115</v>
      </c>
      <c r="CG37" s="11" t="s">
        <v>115</v>
      </c>
      <c r="CM37" s="11" t="s">
        <v>115</v>
      </c>
      <c r="CS37" s="11" t="s">
        <v>115</v>
      </c>
    </row>
    <row r="38" spans="1:97" x14ac:dyDescent="0.3">
      <c r="A38" s="12" t="s">
        <v>115</v>
      </c>
      <c r="B38" s="13">
        <v>0.69938374000000003</v>
      </c>
      <c r="D38" s="12" t="s">
        <v>114</v>
      </c>
      <c r="E38" s="13">
        <v>0.85682625000000001</v>
      </c>
      <c r="F38" s="13">
        <v>0.90119446999999997</v>
      </c>
      <c r="G38" s="13">
        <v>1.6623628500000001</v>
      </c>
      <c r="I38" s="12" t="s">
        <v>116</v>
      </c>
      <c r="J38" s="13">
        <v>5.5068075299999997</v>
      </c>
      <c r="L38" s="12" t="s">
        <v>114</v>
      </c>
      <c r="M38" s="13">
        <v>5.65051141</v>
      </c>
      <c r="N38" s="13">
        <v>6.8561795500000002</v>
      </c>
      <c r="O38" s="13">
        <v>12.593832580000001</v>
      </c>
      <c r="Q38" s="12" t="s">
        <v>115</v>
      </c>
      <c r="R38">
        <v>4024</v>
      </c>
      <c r="T38" s="12" t="s">
        <v>114</v>
      </c>
      <c r="U38">
        <v>4879</v>
      </c>
      <c r="V38">
        <v>5186</v>
      </c>
      <c r="W38">
        <v>9565</v>
      </c>
      <c r="Y38" s="12" t="s">
        <v>114</v>
      </c>
      <c r="Z38">
        <v>7595.2</v>
      </c>
      <c r="AB38" s="12" t="s">
        <v>114</v>
      </c>
      <c r="AC38">
        <v>8634.6</v>
      </c>
      <c r="AD38">
        <v>7563.2</v>
      </c>
      <c r="AE38">
        <v>7595.2</v>
      </c>
      <c r="AG38" s="12" t="s">
        <v>114</v>
      </c>
      <c r="AH38" s="13">
        <v>13.199816970000001</v>
      </c>
      <c r="AJ38" s="12" t="s">
        <v>114</v>
      </c>
      <c r="AK38" s="13">
        <v>15.163693800000001</v>
      </c>
      <c r="AL38" s="13">
        <v>13.144265839999999</v>
      </c>
      <c r="AM38" s="13">
        <v>13.199816970000001</v>
      </c>
      <c r="BE38">
        <v>0</v>
      </c>
      <c r="BF38">
        <v>0</v>
      </c>
      <c r="BG38">
        <v>0</v>
      </c>
      <c r="BH38">
        <v>0</v>
      </c>
      <c r="BM38" s="4"/>
      <c r="BN38" s="5"/>
      <c r="BP38" s="4"/>
      <c r="BQ38" s="5"/>
      <c r="BU38" s="11" t="s">
        <v>116</v>
      </c>
      <c r="CA38" s="11" t="s">
        <v>116</v>
      </c>
      <c r="CG38" s="11" t="s">
        <v>116</v>
      </c>
      <c r="CM38" s="11" t="s">
        <v>116</v>
      </c>
      <c r="CS38" s="11" t="s">
        <v>116</v>
      </c>
    </row>
    <row r="39" spans="1:97" x14ac:dyDescent="0.3">
      <c r="A39" s="12" t="s">
        <v>116</v>
      </c>
      <c r="B39" s="13">
        <v>0.74905326999999999</v>
      </c>
      <c r="D39" s="12" t="s">
        <v>115</v>
      </c>
      <c r="E39" s="13">
        <v>0.21021132000000001</v>
      </c>
      <c r="F39" s="13">
        <v>0.59574768</v>
      </c>
      <c r="G39" s="13">
        <v>0.69938374000000003</v>
      </c>
      <c r="I39" s="12" t="s">
        <v>124</v>
      </c>
      <c r="J39" s="13">
        <v>6.5110062099999997</v>
      </c>
      <c r="L39" s="12" t="s">
        <v>115</v>
      </c>
      <c r="M39" s="13">
        <v>1.4561689499999999</v>
      </c>
      <c r="N39" s="13">
        <v>16.668915640000002</v>
      </c>
      <c r="O39" s="13">
        <v>14.224721280000001</v>
      </c>
      <c r="Q39" s="12" t="s">
        <v>116</v>
      </c>
      <c r="R39">
        <v>4310</v>
      </c>
      <c r="T39" s="12" t="s">
        <v>115</v>
      </c>
      <c r="U39">
        <v>1197</v>
      </c>
      <c r="V39">
        <v>3428</v>
      </c>
      <c r="W39">
        <v>4024</v>
      </c>
      <c r="Y39" s="12" t="s">
        <v>115</v>
      </c>
      <c r="Z39">
        <v>2829.1</v>
      </c>
      <c r="AB39" s="12" t="s">
        <v>115</v>
      </c>
      <c r="AC39">
        <v>8220.2000000000007</v>
      </c>
      <c r="AD39">
        <v>2056.5</v>
      </c>
      <c r="AE39">
        <v>2829.1</v>
      </c>
      <c r="AG39" s="12" t="s">
        <v>115</v>
      </c>
      <c r="AH39" s="13">
        <v>4.9166779600000003</v>
      </c>
      <c r="AJ39" s="12" t="s">
        <v>115</v>
      </c>
      <c r="AK39" s="13">
        <v>14.435915400000001</v>
      </c>
      <c r="AL39" s="13">
        <v>3.5740037899999999</v>
      </c>
      <c r="AM39" s="13">
        <v>4.9166779600000003</v>
      </c>
      <c r="BE39">
        <v>0</v>
      </c>
      <c r="BF39">
        <v>0</v>
      </c>
      <c r="BG39">
        <v>0</v>
      </c>
      <c r="BH39">
        <v>0</v>
      </c>
      <c r="BM39" s="4"/>
      <c r="BN39" s="5"/>
      <c r="BP39" s="4"/>
      <c r="BQ39" s="5"/>
      <c r="BU39" s="11" t="s">
        <v>111</v>
      </c>
      <c r="CA39" s="11" t="s">
        <v>111</v>
      </c>
      <c r="CG39" s="11" t="s">
        <v>111</v>
      </c>
      <c r="CM39" s="11" t="s">
        <v>111</v>
      </c>
      <c r="CS39" s="11" t="s">
        <v>111</v>
      </c>
    </row>
    <row r="40" spans="1:97" x14ac:dyDescent="0.3">
      <c r="A40" s="12" t="s">
        <v>124</v>
      </c>
      <c r="B40" s="13">
        <v>0.91145973999999996</v>
      </c>
      <c r="D40" s="12" t="s">
        <v>116</v>
      </c>
      <c r="E40" s="13">
        <v>1.24185173</v>
      </c>
      <c r="F40" s="13">
        <v>0.69938374000000003</v>
      </c>
      <c r="G40" s="13">
        <v>0.74905326999999999</v>
      </c>
      <c r="I40" s="12" t="s">
        <v>113</v>
      </c>
      <c r="J40" s="13">
        <v>8.3945884</v>
      </c>
      <c r="L40" s="12" t="s">
        <v>116</v>
      </c>
      <c r="M40" s="13">
        <v>7.4889053099999998</v>
      </c>
      <c r="N40" s="13">
        <v>14.224721280000001</v>
      </c>
      <c r="O40" s="13">
        <v>5.5068075299999997</v>
      </c>
      <c r="Q40" s="12" t="s">
        <v>124</v>
      </c>
      <c r="R40">
        <v>5245</v>
      </c>
      <c r="T40" s="12" t="s">
        <v>116</v>
      </c>
      <c r="U40">
        <v>7071</v>
      </c>
      <c r="V40">
        <v>4024</v>
      </c>
      <c r="W40">
        <v>4310</v>
      </c>
      <c r="Y40" s="12" t="s">
        <v>116</v>
      </c>
      <c r="Z40">
        <v>7826.8</v>
      </c>
      <c r="AB40" s="12" t="s">
        <v>116</v>
      </c>
      <c r="AC40">
        <v>9442.6</v>
      </c>
      <c r="AD40">
        <v>2829.1</v>
      </c>
      <c r="AE40">
        <v>7826.8</v>
      </c>
      <c r="AG40" s="12" t="s">
        <v>116</v>
      </c>
      <c r="AH40" s="13">
        <v>13.602314379999999</v>
      </c>
      <c r="AJ40" s="12" t="s">
        <v>116</v>
      </c>
      <c r="AK40" s="13">
        <v>16.582553440000002</v>
      </c>
      <c r="AL40" s="13">
        <v>4.9166779600000003</v>
      </c>
      <c r="AM40" s="13">
        <v>13.602314379999999</v>
      </c>
      <c r="BE40">
        <v>0</v>
      </c>
      <c r="BF40">
        <v>0</v>
      </c>
      <c r="BG40">
        <v>0</v>
      </c>
      <c r="BH40">
        <v>0</v>
      </c>
      <c r="BM40" s="4"/>
      <c r="BN40" s="5"/>
      <c r="BP40" s="4"/>
      <c r="BQ40" s="5"/>
      <c r="BU40" s="11" t="s">
        <v>124</v>
      </c>
      <c r="CA40" s="11" t="s">
        <v>124</v>
      </c>
      <c r="CG40" s="11" t="s">
        <v>124</v>
      </c>
      <c r="CM40" s="11" t="s">
        <v>124</v>
      </c>
      <c r="CS40" s="11" t="s">
        <v>124</v>
      </c>
    </row>
    <row r="41" spans="1:97" x14ac:dyDescent="0.3">
      <c r="A41" s="12" t="s">
        <v>113</v>
      </c>
      <c r="B41" s="13">
        <v>1.1135021899999999</v>
      </c>
      <c r="D41" s="12" t="s">
        <v>111</v>
      </c>
      <c r="E41" s="13">
        <v>0.79735856999999999</v>
      </c>
      <c r="F41" s="13">
        <v>0.78308593999999998</v>
      </c>
      <c r="G41" s="13">
        <v>0.68766152000000003</v>
      </c>
      <c r="I41" s="12" t="s">
        <v>114</v>
      </c>
      <c r="J41" s="13">
        <v>12.593832580000001</v>
      </c>
      <c r="L41" s="12" t="s">
        <v>111</v>
      </c>
      <c r="M41" s="13">
        <v>4.7819772299999999</v>
      </c>
      <c r="N41" s="13">
        <v>5.5317676999999996</v>
      </c>
      <c r="O41" s="13">
        <v>5.0554743699999998</v>
      </c>
      <c r="Q41" s="12" t="s">
        <v>113</v>
      </c>
      <c r="R41">
        <v>6407</v>
      </c>
      <c r="T41" s="12" t="s">
        <v>111</v>
      </c>
      <c r="U41">
        <v>4540</v>
      </c>
      <c r="V41">
        <v>4506</v>
      </c>
      <c r="W41">
        <v>3957</v>
      </c>
      <c r="Y41" s="12" t="s">
        <v>111</v>
      </c>
      <c r="Z41">
        <v>7826.8</v>
      </c>
      <c r="AB41" s="12" t="s">
        <v>111</v>
      </c>
      <c r="AC41">
        <v>9494.7999999999993</v>
      </c>
      <c r="AD41">
        <v>8145.5</v>
      </c>
      <c r="AE41">
        <v>7826.8</v>
      </c>
      <c r="AG41" s="12" t="s">
        <v>111</v>
      </c>
      <c r="AH41" s="13">
        <v>13.602314379999999</v>
      </c>
      <c r="AJ41" s="12" t="s">
        <v>111</v>
      </c>
      <c r="AK41" s="13">
        <v>16.674244460000001</v>
      </c>
      <c r="AL41" s="13">
        <v>14.15616099</v>
      </c>
      <c r="AM41" s="13">
        <v>13.602314379999999</v>
      </c>
      <c r="BE41">
        <v>0</v>
      </c>
      <c r="BF41">
        <v>0</v>
      </c>
      <c r="BG41">
        <v>0</v>
      </c>
      <c r="BH41">
        <v>0</v>
      </c>
      <c r="BM41" s="4"/>
      <c r="BN41" s="5"/>
      <c r="BP41" s="4"/>
      <c r="BQ41" s="5"/>
    </row>
    <row r="42" spans="1:97" x14ac:dyDescent="0.3">
      <c r="A42" s="12" t="s">
        <v>114</v>
      </c>
      <c r="B42" s="13">
        <v>1.6623628500000001</v>
      </c>
      <c r="D42" s="12" t="s">
        <v>124</v>
      </c>
      <c r="E42" s="13">
        <v>0.94224838</v>
      </c>
      <c r="F42" s="13">
        <v>0.69766174999999997</v>
      </c>
      <c r="G42" s="13">
        <v>0.91145973999999996</v>
      </c>
      <c r="I42" s="12" t="s">
        <v>115</v>
      </c>
      <c r="J42" s="13">
        <v>14.224721280000001</v>
      </c>
      <c r="L42" s="12" t="s">
        <v>124</v>
      </c>
      <c r="M42" s="13">
        <v>5.46570321</v>
      </c>
      <c r="N42" s="13">
        <v>4.5420225099999998</v>
      </c>
      <c r="O42" s="13">
        <v>6.5110062099999997</v>
      </c>
      <c r="Q42" s="12" t="s">
        <v>114</v>
      </c>
      <c r="R42">
        <v>9565</v>
      </c>
      <c r="T42" s="12" t="s">
        <v>124</v>
      </c>
      <c r="U42">
        <v>5365</v>
      </c>
      <c r="V42">
        <v>4014</v>
      </c>
      <c r="W42">
        <v>5245</v>
      </c>
      <c r="Y42" s="12" t="s">
        <v>124</v>
      </c>
      <c r="Z42">
        <v>8054.9</v>
      </c>
      <c r="AB42" s="12" t="s">
        <v>124</v>
      </c>
      <c r="AC42">
        <v>9816.5</v>
      </c>
      <c r="AD42">
        <v>8838.2999999999993</v>
      </c>
      <c r="AE42">
        <v>8054.9</v>
      </c>
      <c r="AG42" s="12" t="s">
        <v>124</v>
      </c>
      <c r="AH42" s="13">
        <v>13.99875392</v>
      </c>
      <c r="AJ42" s="12" t="s">
        <v>124</v>
      </c>
      <c r="AK42" s="13">
        <v>17.23928909</v>
      </c>
      <c r="AL42" s="13">
        <v>15.360156269999999</v>
      </c>
      <c r="AM42" s="13">
        <v>13.99875392</v>
      </c>
      <c r="BE42">
        <v>0</v>
      </c>
      <c r="BF42">
        <v>0</v>
      </c>
      <c r="BG42">
        <v>0</v>
      </c>
      <c r="BH42">
        <v>0</v>
      </c>
      <c r="BM42" s="4"/>
      <c r="BN42" s="5"/>
      <c r="BP42" s="4"/>
      <c r="BQ42" s="5"/>
    </row>
    <row r="43" spans="1:97" x14ac:dyDescent="0.3">
      <c r="A43" s="11" t="s">
        <v>10</v>
      </c>
      <c r="B43" s="13">
        <v>4.70603003</v>
      </c>
      <c r="D43" s="11" t="s">
        <v>10</v>
      </c>
      <c r="E43" s="13">
        <v>3.5338809200000005</v>
      </c>
      <c r="F43" s="13">
        <v>3.3225380200000001</v>
      </c>
      <c r="G43" s="13">
        <v>4.70603003</v>
      </c>
      <c r="I43" s="11" t="s">
        <v>10</v>
      </c>
      <c r="J43" s="13">
        <v>53.758594000000002</v>
      </c>
      <c r="L43" s="11" t="s">
        <v>10</v>
      </c>
      <c r="M43" s="13">
        <v>28.262742150000001</v>
      </c>
      <c r="N43" s="13">
        <v>48.137106989999999</v>
      </c>
      <c r="O43" s="13">
        <v>53.758594000000002</v>
      </c>
      <c r="Q43" s="11" t="s">
        <v>10</v>
      </c>
      <c r="R43">
        <v>58935</v>
      </c>
      <c r="T43" s="11" t="s">
        <v>10</v>
      </c>
      <c r="U43">
        <v>43723</v>
      </c>
      <c r="V43">
        <v>41609</v>
      </c>
      <c r="W43">
        <v>58935</v>
      </c>
      <c r="Y43" s="11" t="s">
        <v>10</v>
      </c>
      <c r="Z43">
        <v>70240.2</v>
      </c>
      <c r="AB43" s="11" t="s">
        <v>10</v>
      </c>
      <c r="AC43">
        <v>91895.2</v>
      </c>
      <c r="AD43">
        <v>63885.8</v>
      </c>
      <c r="AE43">
        <v>70240.2</v>
      </c>
      <c r="AG43" s="11" t="s">
        <v>10</v>
      </c>
      <c r="AH43" s="13">
        <v>56.087486239999997</v>
      </c>
      <c r="AJ43" s="11" t="s">
        <v>10</v>
      </c>
      <c r="AK43" s="13">
        <v>74.274731880000004</v>
      </c>
      <c r="AL43" s="13">
        <v>51.013544819999993</v>
      </c>
      <c r="AM43" s="13">
        <v>56.087486239999997</v>
      </c>
      <c r="BE43">
        <v>0</v>
      </c>
      <c r="BF43">
        <v>0</v>
      </c>
      <c r="BG43">
        <v>0</v>
      </c>
      <c r="BH43">
        <v>0</v>
      </c>
      <c r="BM43" s="4"/>
      <c r="BN43" s="5"/>
      <c r="BP43" s="4"/>
      <c r="BQ43" s="5"/>
    </row>
    <row r="44" spans="1:97" x14ac:dyDescent="0.3">
      <c r="A44" s="12" t="s">
        <v>111</v>
      </c>
      <c r="B44" s="13">
        <v>0.27147176000000001</v>
      </c>
      <c r="D44" s="12" t="s">
        <v>113</v>
      </c>
      <c r="E44" s="13">
        <v>0.87027156000000006</v>
      </c>
      <c r="F44" s="13">
        <v>0.92103800000000002</v>
      </c>
      <c r="G44" s="13">
        <v>1.05249481</v>
      </c>
      <c r="I44" s="12" t="s">
        <v>111</v>
      </c>
      <c r="J44" s="13">
        <v>2.5398617799999998</v>
      </c>
      <c r="L44" s="12" t="s">
        <v>113</v>
      </c>
      <c r="M44" s="13">
        <v>7.0821930000000002</v>
      </c>
      <c r="N44" s="13">
        <v>8.0342203100000003</v>
      </c>
      <c r="O44" s="13">
        <v>10.264460440000001</v>
      </c>
      <c r="Q44" s="12" t="s">
        <v>111</v>
      </c>
      <c r="R44">
        <v>3400</v>
      </c>
      <c r="T44" s="12" t="s">
        <v>113</v>
      </c>
      <c r="U44">
        <v>10767</v>
      </c>
      <c r="V44">
        <v>11534</v>
      </c>
      <c r="W44">
        <v>13181</v>
      </c>
      <c r="Y44" s="12" t="s">
        <v>113</v>
      </c>
      <c r="Z44">
        <v>12841.1</v>
      </c>
      <c r="AB44" s="12" t="s">
        <v>113</v>
      </c>
      <c r="AC44">
        <v>15203.3</v>
      </c>
      <c r="AD44">
        <v>14356.6</v>
      </c>
      <c r="AE44">
        <v>12841.1</v>
      </c>
      <c r="AG44" s="12" t="s">
        <v>113</v>
      </c>
      <c r="AH44" s="13">
        <v>10.25377626</v>
      </c>
      <c r="AJ44" s="12" t="s">
        <v>113</v>
      </c>
      <c r="AK44" s="13">
        <v>12.288164999999999</v>
      </c>
      <c r="AL44" s="13">
        <v>11.4639376</v>
      </c>
      <c r="AM44" s="13">
        <v>10.25377626</v>
      </c>
      <c r="BE44">
        <v>0</v>
      </c>
      <c r="BF44">
        <v>0</v>
      </c>
      <c r="BG44">
        <v>0</v>
      </c>
      <c r="BH44">
        <v>0</v>
      </c>
      <c r="BM44" s="4"/>
      <c r="BN44" s="5"/>
      <c r="BP44" s="4"/>
      <c r="BQ44" s="5"/>
    </row>
    <row r="45" spans="1:97" x14ac:dyDescent="0.3">
      <c r="A45" s="12" t="s">
        <v>115</v>
      </c>
      <c r="B45" s="13">
        <v>0.39824635000000003</v>
      </c>
      <c r="D45" s="12" t="s">
        <v>114</v>
      </c>
      <c r="E45" s="13">
        <v>0.59731308999999999</v>
      </c>
      <c r="F45" s="13">
        <v>0.83640028</v>
      </c>
      <c r="G45" s="13">
        <v>1.9308793</v>
      </c>
      <c r="I45" s="12" t="s">
        <v>124</v>
      </c>
      <c r="J45" s="13">
        <v>4.7981786399999997</v>
      </c>
      <c r="L45" s="12" t="s">
        <v>114</v>
      </c>
      <c r="M45" s="13">
        <v>5.3047151599999998</v>
      </c>
      <c r="N45" s="13">
        <v>8.1177537399999995</v>
      </c>
      <c r="O45" s="13">
        <v>18.99379467</v>
      </c>
      <c r="Q45" s="12" t="s">
        <v>115</v>
      </c>
      <c r="R45">
        <v>4987</v>
      </c>
      <c r="T45" s="12" t="s">
        <v>114</v>
      </c>
      <c r="U45">
        <v>7390</v>
      </c>
      <c r="V45">
        <v>10475</v>
      </c>
      <c r="W45">
        <v>24181</v>
      </c>
      <c r="Y45" s="12" t="s">
        <v>114</v>
      </c>
      <c r="Z45">
        <v>12731</v>
      </c>
      <c r="AB45" s="12" t="s">
        <v>114</v>
      </c>
      <c r="AC45">
        <v>13931.3</v>
      </c>
      <c r="AD45">
        <v>12903.2</v>
      </c>
      <c r="AE45">
        <v>12731</v>
      </c>
      <c r="AG45" s="12" t="s">
        <v>114</v>
      </c>
      <c r="AH45" s="13">
        <v>10.16584274</v>
      </c>
      <c r="AJ45" s="12" t="s">
        <v>114</v>
      </c>
      <c r="AK45" s="13">
        <v>11.260040869999999</v>
      </c>
      <c r="AL45" s="13">
        <v>10.303346319999999</v>
      </c>
      <c r="AM45" s="13">
        <v>10.16584274</v>
      </c>
      <c r="BE45">
        <v>0</v>
      </c>
      <c r="BF45">
        <v>0</v>
      </c>
      <c r="BG45">
        <v>0</v>
      </c>
      <c r="BH45">
        <v>0</v>
      </c>
      <c r="BM45" s="4"/>
      <c r="BN45" s="5"/>
      <c r="BP45" s="4"/>
      <c r="BQ45" s="5"/>
    </row>
    <row r="46" spans="1:97" x14ac:dyDescent="0.3">
      <c r="A46" s="12" t="s">
        <v>116</v>
      </c>
      <c r="B46" s="13">
        <v>0.52297276000000004</v>
      </c>
      <c r="D46" s="12" t="s">
        <v>115</v>
      </c>
      <c r="E46" s="13">
        <v>0.18355446</v>
      </c>
      <c r="F46" s="13">
        <v>0.27971040000000003</v>
      </c>
      <c r="G46" s="13">
        <v>0.39824635000000003</v>
      </c>
      <c r="I46" s="12" t="s">
        <v>116</v>
      </c>
      <c r="J46" s="13">
        <v>4.8928792000000003</v>
      </c>
      <c r="L46" s="12" t="s">
        <v>115</v>
      </c>
      <c r="M46" s="13">
        <v>1.7010726300000001</v>
      </c>
      <c r="N46" s="13">
        <v>12.190296549999999</v>
      </c>
      <c r="O46" s="13">
        <v>12.26941927</v>
      </c>
      <c r="Q46" s="12" t="s">
        <v>116</v>
      </c>
      <c r="R46">
        <v>6549</v>
      </c>
      <c r="T46" s="12" t="s">
        <v>115</v>
      </c>
      <c r="U46">
        <v>2271</v>
      </c>
      <c r="V46">
        <v>3503</v>
      </c>
      <c r="W46">
        <v>4987</v>
      </c>
      <c r="Y46" s="12" t="s">
        <v>115</v>
      </c>
      <c r="Z46">
        <v>4064.9</v>
      </c>
      <c r="AB46" s="12" t="s">
        <v>115</v>
      </c>
      <c r="AC46">
        <v>13350.4</v>
      </c>
      <c r="AD46">
        <v>2873.5</v>
      </c>
      <c r="AE46">
        <v>4064.9</v>
      </c>
      <c r="AG46" s="12" t="s">
        <v>115</v>
      </c>
      <c r="AH46" s="13">
        <v>3.2458451500000001</v>
      </c>
      <c r="AJ46" s="12" t="s">
        <v>115</v>
      </c>
      <c r="AK46" s="13">
        <v>10.790512720000001</v>
      </c>
      <c r="AL46" s="13">
        <v>2.2945331499999999</v>
      </c>
      <c r="AM46" s="13">
        <v>3.2458451500000001</v>
      </c>
      <c r="BE46">
        <v>0</v>
      </c>
      <c r="BF46">
        <v>0</v>
      </c>
      <c r="BG46">
        <v>0</v>
      </c>
      <c r="BH46">
        <v>0</v>
      </c>
      <c r="BM46" s="4"/>
      <c r="BN46" s="4"/>
      <c r="BP46" s="4"/>
      <c r="BQ46" s="4"/>
    </row>
    <row r="47" spans="1:97" x14ac:dyDescent="0.3">
      <c r="A47" s="12" t="s">
        <v>124</v>
      </c>
      <c r="B47" s="13">
        <v>0.52996505000000005</v>
      </c>
      <c r="D47" s="12" t="s">
        <v>116</v>
      </c>
      <c r="E47" s="13">
        <v>0.77759741000000004</v>
      </c>
      <c r="F47" s="13">
        <v>0.39824635000000003</v>
      </c>
      <c r="G47" s="13">
        <v>0.52297276000000004</v>
      </c>
      <c r="I47" s="12" t="s">
        <v>113</v>
      </c>
      <c r="J47" s="13">
        <v>10.264460440000001</v>
      </c>
      <c r="L47" s="12" t="s">
        <v>116</v>
      </c>
      <c r="M47" s="13">
        <v>5.9119593200000002</v>
      </c>
      <c r="N47" s="13">
        <v>12.26941927</v>
      </c>
      <c r="O47" s="13">
        <v>4.8928792000000003</v>
      </c>
      <c r="Q47" s="12" t="s">
        <v>124</v>
      </c>
      <c r="R47">
        <v>6637</v>
      </c>
      <c r="T47" s="12" t="s">
        <v>116</v>
      </c>
      <c r="U47">
        <v>9621</v>
      </c>
      <c r="V47">
        <v>4987</v>
      </c>
      <c r="W47">
        <v>6549</v>
      </c>
      <c r="Y47" s="12" t="s">
        <v>116</v>
      </c>
      <c r="Z47">
        <v>13385.5</v>
      </c>
      <c r="AB47" s="12" t="s">
        <v>116</v>
      </c>
      <c r="AC47">
        <v>16273.3</v>
      </c>
      <c r="AD47">
        <v>4064.9</v>
      </c>
      <c r="AE47">
        <v>13385.5</v>
      </c>
      <c r="AG47" s="12" t="s">
        <v>116</v>
      </c>
      <c r="AH47" s="13">
        <v>10.688446190000001</v>
      </c>
      <c r="AJ47" s="12" t="s">
        <v>116</v>
      </c>
      <c r="AK47" s="13">
        <v>13.152956039999999</v>
      </c>
      <c r="AL47" s="13">
        <v>3.2458451500000001</v>
      </c>
      <c r="AM47" s="13">
        <v>10.688446190000001</v>
      </c>
      <c r="BE47">
        <v>0</v>
      </c>
      <c r="BF47">
        <v>0</v>
      </c>
      <c r="BG47">
        <v>0</v>
      </c>
      <c r="BH47">
        <v>0</v>
      </c>
      <c r="BM47" s="4"/>
      <c r="BN47" s="5"/>
      <c r="BP47" s="4"/>
      <c r="BQ47" s="5"/>
    </row>
    <row r="48" spans="1:97" x14ac:dyDescent="0.3">
      <c r="A48" s="12" t="s">
        <v>113</v>
      </c>
      <c r="B48" s="13">
        <v>1.05249481</v>
      </c>
      <c r="D48" s="12" t="s">
        <v>111</v>
      </c>
      <c r="E48" s="13">
        <v>0.60478405000000002</v>
      </c>
      <c r="F48" s="13">
        <v>0.49163519999999999</v>
      </c>
      <c r="G48" s="13">
        <v>0.27147176000000001</v>
      </c>
      <c r="I48" s="12" t="s">
        <v>115</v>
      </c>
      <c r="J48" s="13">
        <v>12.26941927</v>
      </c>
      <c r="L48" s="12" t="s">
        <v>111</v>
      </c>
      <c r="M48" s="13">
        <v>4.56955811</v>
      </c>
      <c r="N48" s="13">
        <v>4.3088751500000004</v>
      </c>
      <c r="O48" s="13">
        <v>2.5398617799999998</v>
      </c>
      <c r="Q48" s="12" t="s">
        <v>113</v>
      </c>
      <c r="R48">
        <v>13181</v>
      </c>
      <c r="T48" s="12" t="s">
        <v>111</v>
      </c>
      <c r="U48">
        <v>7483</v>
      </c>
      <c r="V48">
        <v>6157</v>
      </c>
      <c r="W48">
        <v>3400</v>
      </c>
      <c r="Y48" s="12" t="s">
        <v>111</v>
      </c>
      <c r="Z48">
        <v>13385.5</v>
      </c>
      <c r="AB48" s="12" t="s">
        <v>111</v>
      </c>
      <c r="AC48">
        <v>16374.9</v>
      </c>
      <c r="AD48">
        <v>14288.9</v>
      </c>
      <c r="AE48">
        <v>13385.5</v>
      </c>
      <c r="AG48" s="12" t="s">
        <v>111</v>
      </c>
      <c r="AH48" s="13">
        <v>10.688446190000001</v>
      </c>
      <c r="AJ48" s="12" t="s">
        <v>111</v>
      </c>
      <c r="AK48" s="13">
        <v>13.2350665</v>
      </c>
      <c r="AL48" s="13">
        <v>11.409826949999999</v>
      </c>
      <c r="AM48" s="13">
        <v>10.688446190000001</v>
      </c>
      <c r="BE48">
        <v>0</v>
      </c>
      <c r="BF48">
        <v>0</v>
      </c>
      <c r="BG48">
        <v>0</v>
      </c>
      <c r="BH48">
        <v>0</v>
      </c>
      <c r="BM48" s="4"/>
      <c r="BN48" s="5"/>
      <c r="BP48" s="4"/>
      <c r="BQ48" s="5"/>
    </row>
    <row r="49" spans="1:69" x14ac:dyDescent="0.3">
      <c r="A49" s="12" t="s">
        <v>114</v>
      </c>
      <c r="B49" s="13">
        <v>1.9308793</v>
      </c>
      <c r="D49" s="12" t="s">
        <v>124</v>
      </c>
      <c r="E49" s="13">
        <v>0.50036035000000001</v>
      </c>
      <c r="F49" s="13">
        <v>0.39550779000000003</v>
      </c>
      <c r="G49" s="13">
        <v>0.52996505000000005</v>
      </c>
      <c r="I49" s="12" t="s">
        <v>114</v>
      </c>
      <c r="J49" s="13">
        <v>18.99379467</v>
      </c>
      <c r="L49" s="12" t="s">
        <v>124</v>
      </c>
      <c r="M49" s="13">
        <v>3.69324393</v>
      </c>
      <c r="N49" s="13">
        <v>3.2165419700000002</v>
      </c>
      <c r="O49" s="13">
        <v>4.7981786399999997</v>
      </c>
      <c r="Q49" s="12" t="s">
        <v>114</v>
      </c>
      <c r="R49">
        <v>24181</v>
      </c>
      <c r="T49" s="12" t="s">
        <v>124</v>
      </c>
      <c r="U49">
        <v>6191</v>
      </c>
      <c r="V49">
        <v>4953</v>
      </c>
      <c r="W49">
        <v>6637</v>
      </c>
      <c r="Y49" s="12" t="s">
        <v>124</v>
      </c>
      <c r="Z49">
        <v>13832.2</v>
      </c>
      <c r="AB49" s="12" t="s">
        <v>124</v>
      </c>
      <c r="AC49">
        <v>16762</v>
      </c>
      <c r="AD49">
        <v>15398.7</v>
      </c>
      <c r="AE49">
        <v>13832.2</v>
      </c>
      <c r="AG49" s="12" t="s">
        <v>124</v>
      </c>
      <c r="AH49" s="13">
        <v>11.045129709999999</v>
      </c>
      <c r="AJ49" s="12" t="s">
        <v>124</v>
      </c>
      <c r="AK49" s="13">
        <v>13.54799075</v>
      </c>
      <c r="AL49" s="13">
        <v>12.29605565</v>
      </c>
      <c r="AM49" s="13">
        <v>11.045129709999999</v>
      </c>
      <c r="BE49">
        <v>0</v>
      </c>
      <c r="BF49">
        <v>0</v>
      </c>
      <c r="BG49">
        <v>0</v>
      </c>
      <c r="BH49">
        <v>0</v>
      </c>
      <c r="BM49" s="4"/>
      <c r="BN49" s="5"/>
      <c r="BP49" s="4"/>
      <c r="BQ49" s="5"/>
    </row>
    <row r="50" spans="1:69" x14ac:dyDescent="0.3">
      <c r="A50" s="11" t="s">
        <v>11</v>
      </c>
      <c r="B50" s="13">
        <v>6.360507880000001</v>
      </c>
      <c r="D50" s="11" t="s">
        <v>11</v>
      </c>
      <c r="E50" s="13">
        <v>5.1970650699999998</v>
      </c>
      <c r="F50" s="13">
        <v>4.4775722799999995</v>
      </c>
      <c r="G50" s="13">
        <v>6.360507880000001</v>
      </c>
      <c r="I50" s="11" t="s">
        <v>11</v>
      </c>
      <c r="J50" s="13">
        <v>57.01736442</v>
      </c>
      <c r="L50" s="11" t="s">
        <v>11</v>
      </c>
      <c r="M50" s="13">
        <v>32.410015090000002</v>
      </c>
      <c r="N50" s="13">
        <v>53.541421479999997</v>
      </c>
      <c r="O50" s="13">
        <v>57.01736442</v>
      </c>
      <c r="Q50" s="11" t="s">
        <v>11</v>
      </c>
      <c r="R50">
        <v>72770</v>
      </c>
      <c r="T50" s="11" t="s">
        <v>11</v>
      </c>
      <c r="U50">
        <v>58798</v>
      </c>
      <c r="V50">
        <v>51227</v>
      </c>
      <c r="W50">
        <v>72770</v>
      </c>
      <c r="Y50" s="11" t="s">
        <v>11</v>
      </c>
      <c r="Z50">
        <v>82915.399999999994</v>
      </c>
      <c r="AB50" s="11" t="s">
        <v>11</v>
      </c>
      <c r="AC50">
        <v>108795.49999999999</v>
      </c>
      <c r="AD50">
        <v>74537</v>
      </c>
      <c r="AE50">
        <v>82915.399999999994</v>
      </c>
      <c r="AG50" s="11" t="s">
        <v>11</v>
      </c>
      <c r="AH50" s="13">
        <v>72.47362480999999</v>
      </c>
      <c r="AJ50" s="11" t="s">
        <v>11</v>
      </c>
      <c r="AK50" s="13">
        <v>96.163383629999998</v>
      </c>
      <c r="AL50" s="13">
        <v>65.150224429999994</v>
      </c>
      <c r="AM50" s="13">
        <v>72.47362480999999</v>
      </c>
      <c r="BE50">
        <v>0</v>
      </c>
      <c r="BF50">
        <v>0</v>
      </c>
      <c r="BG50">
        <v>0</v>
      </c>
      <c r="BH50">
        <v>0</v>
      </c>
      <c r="BM50" s="4"/>
      <c r="BN50" s="5"/>
      <c r="BP50" s="4"/>
      <c r="BQ50" s="5"/>
    </row>
    <row r="51" spans="1:69" x14ac:dyDescent="0.3">
      <c r="A51" s="12" t="s">
        <v>115</v>
      </c>
      <c r="B51" s="13">
        <v>0.63195210000000002</v>
      </c>
      <c r="D51" s="12" t="s">
        <v>113</v>
      </c>
      <c r="E51" s="13">
        <v>1.25590559</v>
      </c>
      <c r="F51" s="13">
        <v>1.2195798200000001</v>
      </c>
      <c r="G51" s="13">
        <v>1.2338538100000001</v>
      </c>
      <c r="I51" s="12" t="s">
        <v>111</v>
      </c>
      <c r="J51" s="13">
        <v>5.1625831900000003</v>
      </c>
      <c r="L51" s="12" t="s">
        <v>113</v>
      </c>
      <c r="M51" s="13">
        <v>7.97643507</v>
      </c>
      <c r="N51" s="13">
        <v>8.3779551800000007</v>
      </c>
      <c r="O51" s="13">
        <v>9.3244789499999996</v>
      </c>
      <c r="Q51" s="12" t="s">
        <v>115</v>
      </c>
      <c r="R51">
        <v>7230</v>
      </c>
      <c r="T51" s="12" t="s">
        <v>113</v>
      </c>
      <c r="U51">
        <v>14209</v>
      </c>
      <c r="V51">
        <v>13953</v>
      </c>
      <c r="W51">
        <v>14116</v>
      </c>
      <c r="Y51" s="12" t="s">
        <v>113</v>
      </c>
      <c r="Z51">
        <v>15138.9</v>
      </c>
      <c r="AB51" s="12" t="s">
        <v>113</v>
      </c>
      <c r="AC51">
        <v>17813.5</v>
      </c>
      <c r="AD51">
        <v>16654.400000000001</v>
      </c>
      <c r="AE51">
        <v>15138.9</v>
      </c>
      <c r="AG51" s="12" t="s">
        <v>113</v>
      </c>
      <c r="AH51" s="13">
        <v>13.232415639999999</v>
      </c>
      <c r="AJ51" s="12" t="s">
        <v>113</v>
      </c>
      <c r="AK51" s="13">
        <v>15.745199230000001</v>
      </c>
      <c r="AL51" s="13">
        <v>14.55701058</v>
      </c>
      <c r="AM51" s="13">
        <v>13.232415639999999</v>
      </c>
      <c r="BE51">
        <v>0</v>
      </c>
      <c r="BF51">
        <v>0</v>
      </c>
      <c r="BG51">
        <v>0</v>
      </c>
      <c r="BH51">
        <v>0</v>
      </c>
    </row>
    <row r="52" spans="1:69" x14ac:dyDescent="0.3">
      <c r="A52" s="12" t="s">
        <v>111</v>
      </c>
      <c r="B52" s="13">
        <v>0.70762221000000003</v>
      </c>
      <c r="D52" s="12" t="s">
        <v>114</v>
      </c>
      <c r="E52" s="13">
        <v>0.97012949000000004</v>
      </c>
      <c r="F52" s="13">
        <v>0.79723584999999997</v>
      </c>
      <c r="G52" s="13">
        <v>2.19684072</v>
      </c>
      <c r="I52" s="12" t="s">
        <v>124</v>
      </c>
      <c r="J52" s="13">
        <v>5.3818638500000002</v>
      </c>
      <c r="L52" s="12" t="s">
        <v>114</v>
      </c>
      <c r="M52" s="13">
        <v>6.6764331700000001</v>
      </c>
      <c r="N52" s="13">
        <v>6.0071788499999998</v>
      </c>
      <c r="O52" s="13">
        <v>16.415215809999999</v>
      </c>
      <c r="Q52" s="12" t="s">
        <v>111</v>
      </c>
      <c r="R52">
        <v>8096</v>
      </c>
      <c r="T52" s="12" t="s">
        <v>114</v>
      </c>
      <c r="U52">
        <v>10976</v>
      </c>
      <c r="V52">
        <v>9121</v>
      </c>
      <c r="W52">
        <v>25134</v>
      </c>
      <c r="Y52" s="12" t="s">
        <v>114</v>
      </c>
      <c r="Z52">
        <v>15311.1</v>
      </c>
      <c r="AB52" s="12" t="s">
        <v>114</v>
      </c>
      <c r="AC52">
        <v>16439.400000000001</v>
      </c>
      <c r="AD52">
        <v>15183.5</v>
      </c>
      <c r="AE52">
        <v>15311.1</v>
      </c>
      <c r="AG52" s="12" t="s">
        <v>114</v>
      </c>
      <c r="AH52" s="13">
        <v>13.38295366</v>
      </c>
      <c r="AJ52" s="12" t="s">
        <v>114</v>
      </c>
      <c r="AK52" s="13">
        <v>14.53065526</v>
      </c>
      <c r="AL52" s="13">
        <v>13.27138534</v>
      </c>
      <c r="AM52" s="13">
        <v>13.38295366</v>
      </c>
      <c r="BE52">
        <v>0</v>
      </c>
      <c r="BF52">
        <v>0</v>
      </c>
      <c r="BG52">
        <v>0</v>
      </c>
      <c r="BH52">
        <v>0</v>
      </c>
    </row>
    <row r="53" spans="1:69" x14ac:dyDescent="0.3">
      <c r="A53" s="12" t="s">
        <v>124</v>
      </c>
      <c r="B53" s="13">
        <v>0.76104950999999998</v>
      </c>
      <c r="D53" s="12" t="s">
        <v>115</v>
      </c>
      <c r="E53" s="13">
        <v>0.25429549000000001</v>
      </c>
      <c r="F53" s="13">
        <v>0.46504915000000002</v>
      </c>
      <c r="G53" s="13">
        <v>0.63195210000000002</v>
      </c>
      <c r="I53" s="12" t="s">
        <v>116</v>
      </c>
      <c r="J53" s="13">
        <v>6.0494991300000001</v>
      </c>
      <c r="L53" s="12" t="s">
        <v>115</v>
      </c>
      <c r="M53" s="13">
        <v>1.6869447900000001</v>
      </c>
      <c r="N53" s="13">
        <v>15.325306579999999</v>
      </c>
      <c r="O53" s="13">
        <v>14.68372349</v>
      </c>
      <c r="Q53" s="12" t="s">
        <v>124</v>
      </c>
      <c r="R53">
        <v>8707</v>
      </c>
      <c r="T53" s="12" t="s">
        <v>115</v>
      </c>
      <c r="U53">
        <v>2877</v>
      </c>
      <c r="V53">
        <v>5321</v>
      </c>
      <c r="W53">
        <v>7230</v>
      </c>
      <c r="Y53" s="12" t="s">
        <v>115</v>
      </c>
      <c r="Z53">
        <v>4923.8</v>
      </c>
      <c r="AB53" s="12" t="s">
        <v>115</v>
      </c>
      <c r="AC53">
        <v>17054.5</v>
      </c>
      <c r="AD53">
        <v>3471.7</v>
      </c>
      <c r="AE53">
        <v>4923.8</v>
      </c>
      <c r="AG53" s="12" t="s">
        <v>115</v>
      </c>
      <c r="AH53" s="13">
        <v>4.3037592299999998</v>
      </c>
      <c r="AJ53" s="12" t="s">
        <v>115</v>
      </c>
      <c r="AK53" s="13">
        <v>15.07432199</v>
      </c>
      <c r="AL53" s="13">
        <v>3.03451775</v>
      </c>
      <c r="AM53" s="13">
        <v>4.3037592299999998</v>
      </c>
      <c r="BE53">
        <v>0</v>
      </c>
      <c r="BF53">
        <v>0</v>
      </c>
      <c r="BG53">
        <v>0</v>
      </c>
      <c r="BH53">
        <v>0</v>
      </c>
    </row>
    <row r="54" spans="1:69" x14ac:dyDescent="0.3">
      <c r="A54" s="12" t="s">
        <v>116</v>
      </c>
      <c r="B54" s="13">
        <v>0.82918952999999995</v>
      </c>
      <c r="D54" s="12" t="s">
        <v>116</v>
      </c>
      <c r="E54" s="13">
        <v>1.07540236</v>
      </c>
      <c r="F54" s="13">
        <v>0.63195210000000002</v>
      </c>
      <c r="G54" s="13">
        <v>0.82918952999999995</v>
      </c>
      <c r="I54" s="12" t="s">
        <v>113</v>
      </c>
      <c r="J54" s="13">
        <v>9.3244789499999996</v>
      </c>
      <c r="L54" s="12" t="s">
        <v>116</v>
      </c>
      <c r="M54" s="13">
        <v>6.4371375300000002</v>
      </c>
      <c r="N54" s="13">
        <v>14.68372349</v>
      </c>
      <c r="O54" s="13">
        <v>6.0494991300000001</v>
      </c>
      <c r="Q54" s="12" t="s">
        <v>116</v>
      </c>
      <c r="R54">
        <v>9487</v>
      </c>
      <c r="T54" s="12" t="s">
        <v>116</v>
      </c>
      <c r="U54">
        <v>12167</v>
      </c>
      <c r="V54">
        <v>7230</v>
      </c>
      <c r="W54">
        <v>9487</v>
      </c>
      <c r="Y54" s="12" t="s">
        <v>116</v>
      </c>
      <c r="Z54">
        <v>15681.6</v>
      </c>
      <c r="AB54" s="12" t="s">
        <v>116</v>
      </c>
      <c r="AC54">
        <v>18900.8</v>
      </c>
      <c r="AD54">
        <v>4923.8</v>
      </c>
      <c r="AE54">
        <v>15681.6</v>
      </c>
      <c r="AG54" s="12" t="s">
        <v>116</v>
      </c>
      <c r="AH54" s="13">
        <v>13.70674683</v>
      </c>
      <c r="AJ54" s="12" t="s">
        <v>116</v>
      </c>
      <c r="AK54" s="13">
        <v>16.706220080000001</v>
      </c>
      <c r="AL54" s="13">
        <v>4.3037592299999998</v>
      </c>
      <c r="AM54" s="13">
        <v>13.70674683</v>
      </c>
      <c r="BE54">
        <v>0</v>
      </c>
      <c r="BF54">
        <v>0</v>
      </c>
      <c r="BG54">
        <v>0</v>
      </c>
      <c r="BH54">
        <v>0</v>
      </c>
    </row>
    <row r="55" spans="1:69" x14ac:dyDescent="0.3">
      <c r="A55" s="12" t="s">
        <v>113</v>
      </c>
      <c r="B55" s="13">
        <v>1.2338538100000001</v>
      </c>
      <c r="D55" s="12" t="s">
        <v>111</v>
      </c>
      <c r="E55" s="13">
        <v>0.85023039</v>
      </c>
      <c r="F55" s="13">
        <v>0.77006332</v>
      </c>
      <c r="G55" s="13">
        <v>0.70762221000000003</v>
      </c>
      <c r="I55" s="12" t="s">
        <v>115</v>
      </c>
      <c r="J55" s="13">
        <v>14.68372349</v>
      </c>
      <c r="L55" s="12" t="s">
        <v>111</v>
      </c>
      <c r="M55" s="13">
        <v>5.0701741699999996</v>
      </c>
      <c r="N55" s="13">
        <v>5.3173431000000004</v>
      </c>
      <c r="O55" s="13">
        <v>5.1625831900000003</v>
      </c>
      <c r="Q55" s="12" t="s">
        <v>113</v>
      </c>
      <c r="R55">
        <v>14116</v>
      </c>
      <c r="T55" s="12" t="s">
        <v>111</v>
      </c>
      <c r="U55">
        <v>9619</v>
      </c>
      <c r="V55">
        <v>8810</v>
      </c>
      <c r="W55">
        <v>8096</v>
      </c>
      <c r="Y55" s="12" t="s">
        <v>111</v>
      </c>
      <c r="Z55">
        <v>15681.6</v>
      </c>
      <c r="AB55" s="12" t="s">
        <v>111</v>
      </c>
      <c r="AC55">
        <v>18972.099999999999</v>
      </c>
      <c r="AD55">
        <v>16568.7</v>
      </c>
      <c r="AE55">
        <v>15681.6</v>
      </c>
      <c r="AG55" s="12" t="s">
        <v>111</v>
      </c>
      <c r="AH55" s="13">
        <v>13.70674683</v>
      </c>
      <c r="AJ55" s="12" t="s">
        <v>111</v>
      </c>
      <c r="AK55" s="13">
        <v>16.769254020000002</v>
      </c>
      <c r="AL55" s="13">
        <v>14.48210699</v>
      </c>
      <c r="AM55" s="13">
        <v>13.70674683</v>
      </c>
      <c r="BE55">
        <v>0</v>
      </c>
      <c r="BF55">
        <v>0</v>
      </c>
      <c r="BG55">
        <v>0</v>
      </c>
      <c r="BH55">
        <v>0</v>
      </c>
    </row>
    <row r="56" spans="1:69" x14ac:dyDescent="0.3">
      <c r="A56" s="12" t="s">
        <v>114</v>
      </c>
      <c r="B56" s="13">
        <v>2.19684072</v>
      </c>
      <c r="D56" s="12" t="s">
        <v>124</v>
      </c>
      <c r="E56" s="13">
        <v>0.79110175000000005</v>
      </c>
      <c r="F56" s="13">
        <v>0.59369203999999998</v>
      </c>
      <c r="G56" s="13">
        <v>0.76104950999999998</v>
      </c>
      <c r="I56" s="12" t="s">
        <v>114</v>
      </c>
      <c r="J56" s="13">
        <v>16.415215809999999</v>
      </c>
      <c r="L56" s="12" t="s">
        <v>124</v>
      </c>
      <c r="M56" s="13">
        <v>4.5628903599999999</v>
      </c>
      <c r="N56" s="13">
        <v>3.8299142800000001</v>
      </c>
      <c r="O56" s="13">
        <v>5.3818638500000002</v>
      </c>
      <c r="Q56" s="12" t="s">
        <v>114</v>
      </c>
      <c r="R56">
        <v>25134</v>
      </c>
      <c r="T56" s="12" t="s">
        <v>124</v>
      </c>
      <c r="U56">
        <v>8950</v>
      </c>
      <c r="V56">
        <v>6792</v>
      </c>
      <c r="W56">
        <v>8707</v>
      </c>
      <c r="Y56" s="12" t="s">
        <v>124</v>
      </c>
      <c r="Z56">
        <v>16178.4</v>
      </c>
      <c r="AB56" s="12" t="s">
        <v>124</v>
      </c>
      <c r="AC56">
        <v>19615.2</v>
      </c>
      <c r="AD56">
        <v>17734.900000000001</v>
      </c>
      <c r="AE56">
        <v>16178.4</v>
      </c>
      <c r="AG56" s="12" t="s">
        <v>124</v>
      </c>
      <c r="AH56" s="13">
        <v>14.14100262</v>
      </c>
      <c r="AJ56" s="12" t="s">
        <v>124</v>
      </c>
      <c r="AK56" s="13">
        <v>17.337733050000001</v>
      </c>
      <c r="AL56" s="13">
        <v>15.50144454</v>
      </c>
      <c r="AM56" s="13">
        <v>14.14100262</v>
      </c>
      <c r="BE56">
        <v>0</v>
      </c>
      <c r="BF56">
        <v>0</v>
      </c>
      <c r="BG56">
        <v>0</v>
      </c>
      <c r="BH56">
        <v>0</v>
      </c>
    </row>
    <row r="57" spans="1:69" x14ac:dyDescent="0.3">
      <c r="A57" s="11" t="s">
        <v>54</v>
      </c>
      <c r="B57" s="13">
        <v>16.88996122</v>
      </c>
      <c r="D57" s="11" t="s">
        <v>54</v>
      </c>
      <c r="E57" s="13">
        <v>13.990804909999998</v>
      </c>
      <c r="F57" s="13">
        <v>12.755915680000001</v>
      </c>
      <c r="G57" s="13">
        <v>16.88996122</v>
      </c>
      <c r="I57" s="11" t="s">
        <v>54</v>
      </c>
      <c r="J57" s="13">
        <v>163.06238878999997</v>
      </c>
      <c r="L57" s="11" t="s">
        <v>54</v>
      </c>
      <c r="M57" s="13">
        <v>93.176529419999994</v>
      </c>
      <c r="N57" s="13">
        <v>158.47762362</v>
      </c>
      <c r="O57" s="13">
        <v>163.06238878999997</v>
      </c>
      <c r="Q57" s="11" t="s">
        <v>54</v>
      </c>
      <c r="R57">
        <v>165213</v>
      </c>
      <c r="T57" s="11" t="s">
        <v>54</v>
      </c>
      <c r="U57">
        <v>132471</v>
      </c>
      <c r="V57">
        <v>121352</v>
      </c>
      <c r="W57">
        <v>165213</v>
      </c>
      <c r="Y57" s="11" t="s">
        <v>54</v>
      </c>
      <c r="Z57">
        <v>194920.79999999996</v>
      </c>
      <c r="AB57" s="11" t="s">
        <v>54</v>
      </c>
      <c r="AC57">
        <v>255303.8</v>
      </c>
      <c r="AD57">
        <v>176053.1</v>
      </c>
      <c r="AE57">
        <v>194920.79999999996</v>
      </c>
      <c r="AG57" s="11" t="s">
        <v>54</v>
      </c>
      <c r="AH57" s="13">
        <v>201.14551260999997</v>
      </c>
      <c r="AJ57" s="11" t="s">
        <v>54</v>
      </c>
      <c r="AK57" s="13">
        <v>266.346901</v>
      </c>
      <c r="AL57" s="13">
        <v>181.56196672999999</v>
      </c>
      <c r="AM57" s="13">
        <v>201.14551260999997</v>
      </c>
      <c r="BE57">
        <v>0</v>
      </c>
      <c r="BF57">
        <v>0</v>
      </c>
      <c r="BG57">
        <v>0</v>
      </c>
      <c r="BH57">
        <v>0</v>
      </c>
    </row>
    <row r="58" spans="1:69" x14ac:dyDescent="0.3">
      <c r="BE58">
        <v>0</v>
      </c>
      <c r="BF58">
        <v>0</v>
      </c>
      <c r="BG58">
        <v>0</v>
      </c>
      <c r="BH58">
        <v>0</v>
      </c>
    </row>
    <row r="59" spans="1:69" x14ac:dyDescent="0.3">
      <c r="BE59">
        <v>0</v>
      </c>
      <c r="BF59">
        <v>0</v>
      </c>
      <c r="BG59">
        <v>0</v>
      </c>
      <c r="BH59">
        <v>0</v>
      </c>
    </row>
    <row r="60" spans="1:69" x14ac:dyDescent="0.3">
      <c r="D60" s="10" t="s">
        <v>53</v>
      </c>
      <c r="L60" s="10" t="s">
        <v>53</v>
      </c>
      <c r="T60" s="10" t="s">
        <v>53</v>
      </c>
      <c r="AB60" s="10" t="s">
        <v>53</v>
      </c>
      <c r="AJ60" s="10" t="s">
        <v>53</v>
      </c>
    </row>
    <row r="61" spans="1:69" x14ac:dyDescent="0.3">
      <c r="D61" s="11" t="s">
        <v>12</v>
      </c>
      <c r="L61" s="11" t="s">
        <v>12</v>
      </c>
      <c r="T61" s="11" t="s">
        <v>12</v>
      </c>
      <c r="AB61" s="11" t="s">
        <v>12</v>
      </c>
      <c r="AJ61" s="11" t="s">
        <v>12</v>
      </c>
    </row>
    <row r="62" spans="1:69" x14ac:dyDescent="0.3">
      <c r="D62" s="11" t="s">
        <v>10</v>
      </c>
      <c r="E62">
        <f>COUNTA(D61:D64)</f>
        <v>4</v>
      </c>
      <c r="L62" s="11" t="s">
        <v>10</v>
      </c>
      <c r="M62">
        <f>COUNTA(L61:L64)</f>
        <v>4</v>
      </c>
      <c r="T62" s="11" t="s">
        <v>10</v>
      </c>
      <c r="U62">
        <f>COUNTA(T61:T64)</f>
        <v>4</v>
      </c>
      <c r="AB62" s="11" t="s">
        <v>10</v>
      </c>
      <c r="AC62">
        <f>COUNTA(AB61:AB64)</f>
        <v>4</v>
      </c>
      <c r="AJ62" s="11" t="s">
        <v>10</v>
      </c>
      <c r="AK62">
        <f>COUNTA(AJ61:AJ64)</f>
        <v>4</v>
      </c>
    </row>
    <row r="63" spans="1:69" x14ac:dyDescent="0.3">
      <c r="D63" s="11" t="s">
        <v>11</v>
      </c>
      <c r="E63" t="str">
        <f>IF(E62=2,D61,"P25-54")</f>
        <v>P25-54</v>
      </c>
      <c r="F63">
        <f>ROW()</f>
        <v>63</v>
      </c>
      <c r="L63" s="11" t="s">
        <v>11</v>
      </c>
      <c r="M63" t="str">
        <f>IF(M62=2,L61,"P25-54")</f>
        <v>P25-54</v>
      </c>
      <c r="N63">
        <f>ROW()</f>
        <v>63</v>
      </c>
      <c r="T63" s="11" t="s">
        <v>11</v>
      </c>
      <c r="U63" t="str">
        <f>IF(U62=2,T61,"P25-54")</f>
        <v>P25-54</v>
      </c>
      <c r="V63">
        <f>ROW()</f>
        <v>63</v>
      </c>
      <c r="AB63" s="11" t="s">
        <v>11</v>
      </c>
      <c r="AC63" t="str">
        <f>IF(AC62=2,AB61,"P25-54")</f>
        <v>P25-54</v>
      </c>
      <c r="AD63">
        <f>ROW()</f>
        <v>63</v>
      </c>
      <c r="AJ63" s="11" t="s">
        <v>11</v>
      </c>
      <c r="AK63" t="str">
        <f>IF(AK62=2,AJ61,"P25-54")</f>
        <v>P25-54</v>
      </c>
      <c r="AL63">
        <f>ROW()</f>
        <v>63</v>
      </c>
    </row>
    <row r="64" spans="1:69" x14ac:dyDescent="0.3">
      <c r="D64" s="11" t="s">
        <v>54</v>
      </c>
      <c r="L64" s="11" t="s">
        <v>54</v>
      </c>
      <c r="T64" s="11" t="s">
        <v>54</v>
      </c>
      <c r="AB64" s="11" t="s">
        <v>54</v>
      </c>
      <c r="AJ64" s="11" t="s">
        <v>54</v>
      </c>
    </row>
  </sheetData>
  <sortState xmlns:xlrd2="http://schemas.microsoft.com/office/spreadsheetml/2017/richdata2" ref="BP3:BQ8">
    <sortCondition descending="1" ref="BQ3"/>
  </sortState>
  <mergeCells count="31">
    <mergeCell ref="AU2:AY2"/>
    <mergeCell ref="V1:AJ1"/>
    <mergeCell ref="AK1:AY1"/>
    <mergeCell ref="G2:K2"/>
    <mergeCell ref="L2:P2"/>
    <mergeCell ref="Q2:U2"/>
    <mergeCell ref="V2:Z2"/>
    <mergeCell ref="AA2:AE2"/>
    <mergeCell ref="AF2:AJ2"/>
    <mergeCell ref="AK2:AO2"/>
    <mergeCell ref="AP2:AT2"/>
    <mergeCell ref="G1:U1"/>
    <mergeCell ref="A1:A3"/>
    <mergeCell ref="B1:B3"/>
    <mergeCell ref="C1:C3"/>
    <mergeCell ref="D1:D3"/>
    <mergeCell ref="E1:E3"/>
    <mergeCell ref="CN1:CO1"/>
    <mergeCell ref="CQ1:CR1"/>
    <mergeCell ref="CT1:CU1"/>
    <mergeCell ref="BF7:BG7"/>
    <mergeCell ref="BY1:BZ1"/>
    <mergeCell ref="CB1:CC1"/>
    <mergeCell ref="CE1:CF1"/>
    <mergeCell ref="CH1:CI1"/>
    <mergeCell ref="CK1:CL1"/>
    <mergeCell ref="BJ1:BK1"/>
    <mergeCell ref="BM1:BN1"/>
    <mergeCell ref="BP1:BQ1"/>
    <mergeCell ref="BS1:BT1"/>
    <mergeCell ref="BV1:BW1"/>
  </mergeCells>
  <phoneticPr fontId="4" type="noConversion"/>
  <pageMargins left="0.7" right="0.7" top="0.75" bottom="0.75" header="0.3" footer="0.3"/>
  <tableParts count="5">
    <tablePart r:id="rId21"/>
    <tablePart r:id="rId22"/>
    <tablePart r:id="rId23"/>
    <tablePart r:id="rId24"/>
    <tablePart r:id="rId2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7653DC6BE19E54DA7EC6091B273B878" ma:contentTypeVersion="11" ma:contentTypeDescription="Create a new document." ma:contentTypeScope="" ma:versionID="5e77816e0570b2ccfcefa8434ce4ce95">
  <xsd:schema xmlns:xsd="http://www.w3.org/2001/XMLSchema" xmlns:xs="http://www.w3.org/2001/XMLSchema" xmlns:p="http://schemas.microsoft.com/office/2006/metadata/properties" xmlns:ns3="554857e9-f46a-4818-842b-9452cadd0f8b" xmlns:ns4="8575394f-6f07-4b3a-8080-3af3bb07b075" targetNamespace="http://schemas.microsoft.com/office/2006/metadata/properties" ma:root="true" ma:fieldsID="8f9be89d96d0a1807737132d35d23fc9" ns3:_="" ns4:_="">
    <xsd:import namespace="554857e9-f46a-4818-842b-9452cadd0f8b"/>
    <xsd:import namespace="8575394f-6f07-4b3a-8080-3af3bb07b075"/>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GenerationTime" minOccurs="0"/>
                <xsd:element ref="ns4:MediaServiceEventHashCode" minOccurs="0"/>
                <xsd:element ref="ns4:MediaServiceDateTaken" minOccurs="0"/>
                <xsd:element ref="ns4: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54857e9-f46a-4818-842b-9452cadd0f8b"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575394f-6f07-4b3a-8080-3af3bb07b075"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FB02CB4-9204-4136-ACB8-490F0B76CC69}">
  <ds:schemaRefs>
    <ds:schemaRef ds:uri="http://purl.org/dc/dcmitype/"/>
    <ds:schemaRef ds:uri="http://purl.org/dc/elements/1.1/"/>
    <ds:schemaRef ds:uri="http://schemas.microsoft.com/office/infopath/2007/PartnerControls"/>
    <ds:schemaRef ds:uri="http://purl.org/dc/terms/"/>
    <ds:schemaRef ds:uri="http://schemas.openxmlformats.org/package/2006/metadata/core-properties"/>
    <ds:schemaRef ds:uri="http://www.w3.org/XML/1998/namespace"/>
    <ds:schemaRef ds:uri="http://schemas.microsoft.com/office/2006/documentManagement/types"/>
    <ds:schemaRef ds:uri="8575394f-6f07-4b3a-8080-3af3bb07b075"/>
    <ds:schemaRef ds:uri="554857e9-f46a-4818-842b-9452cadd0f8b"/>
    <ds:schemaRef ds:uri="http://schemas.microsoft.com/office/2006/metadata/properties"/>
  </ds:schemaRefs>
</ds:datastoreItem>
</file>

<file path=customXml/itemProps2.xml><?xml version="1.0" encoding="utf-8"?>
<ds:datastoreItem xmlns:ds="http://schemas.openxmlformats.org/officeDocument/2006/customXml" ds:itemID="{E5411F33-2D09-44BE-BE0A-BA71C917C9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54857e9-f46a-4818-842b-9452cadd0f8b"/>
    <ds:schemaRef ds:uri="8575394f-6f07-4b3a-8080-3af3bb07b07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51B9E3A-685D-4422-B900-08BF0D82D18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vt:i4>
      </vt:variant>
    </vt:vector>
  </HeadingPairs>
  <TitlesOfParts>
    <vt:vector size="14" baseType="lpstr">
      <vt:lpstr>Ratings Dashboard</vt:lpstr>
      <vt:lpstr>Morning Programs</vt:lpstr>
      <vt:lpstr>Midday Programs</vt:lpstr>
      <vt:lpstr>Evening Programs</vt:lpstr>
      <vt:lpstr>Late Programs</vt:lpstr>
      <vt:lpstr>'Evening Programs'!Criteria</vt:lpstr>
      <vt:lpstr>'Late Programs'!Criteria</vt:lpstr>
      <vt:lpstr>'Midday Programs'!Criteria</vt:lpstr>
      <vt:lpstr>'Morning Programs'!Criteria</vt:lpstr>
      <vt:lpstr>'Ratings Dashboard'!Criteria</vt:lpstr>
      <vt:lpstr>'Evening Programs'!Extract</vt:lpstr>
      <vt:lpstr>'Late Programs'!Extract</vt:lpstr>
      <vt:lpstr>'Midday Programs'!Extract</vt:lpstr>
      <vt:lpstr>'Morning Programs'!Extract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Daisy Rivera</dc:creator>
  <cp:lastModifiedBy>Daisy</cp:lastModifiedBy>
  <dcterms:created xsi:type="dcterms:W3CDTF">2023-07-12T20:29:12Z</dcterms:created>
  <dcterms:modified xsi:type="dcterms:W3CDTF">2023-08-11T04:19:05Z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0x01010067653DC6BE19E54DA7EC6091B273B878</vt:lpwstr>
  </property>
</Properties>
</file>